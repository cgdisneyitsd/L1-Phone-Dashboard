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01" documentId="11_94451ABCA0A2D337C40D543FD3FF15B293680652" xr6:coauthVersionLast="47" xr6:coauthVersionMax="47" xr10:uidLastSave="{C8F45283-5C84-4F6C-90B0-F6B1D97263B4}"/>
  <bookViews>
    <workbookView xWindow="-108" yWindow="-108" windowWidth="23256" windowHeight="13896" firstSheet="5" activeTab="6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5" i="3" l="1"/>
  <c r="D49" i="2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<sst xmlns="http://schemas.openxmlformats.org/spreadsheetml/2006/main" count="1855" uniqueCount="167">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</sst>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7" fillId="7" borderId="0" xfId="0" applyFont="1" applyFill="1"/>
  </cellXfs>
  <cellStyles count="1">
    <cellStyle name="Normal" xfId="0" builtinId="0"/>
  </cellStyles>
  <dxfs count="1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9" headerRowBorderDxfId="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7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2" activePane="bottomLeft" state="frozen"/>
      <selection pane="bottomLeft" activeCell="S2" sqref="S2"/>
    </sheetView>
  </sheetViews>
  <sheetFormatPr defaultRowHeight="1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40" t="s">
        <v>50</v>
      </c>
      <c r="B14" s="45" t="s">
        <v>17</v>
      </c>
      <c r="C14" s="45" t="s">
        <v>17</v>
      </c>
      <c r="D14" s="45" t="s">
        <v>17</v>
      </c>
      <c r="E14" s="47" t="s">
        <v>51</v>
      </c>
      <c r="F14" s="47" t="s">
        <v>51</v>
      </c>
      <c r="G14" s="47" t="s">
        <v>51</v>
      </c>
      <c r="H14" s="47" t="s">
        <v>51</v>
      </c>
      <c r="I14" s="48" t="s">
        <v>32</v>
      </c>
      <c r="J14" s="50">
        <v>0.875</v>
      </c>
      <c r="K14" s="50">
        <v>0.95833333333333337</v>
      </c>
      <c r="L14" s="50">
        <v>6.25E-2</v>
      </c>
      <c r="M14" s="50">
        <v>0.1875</v>
      </c>
      <c r="N14" s="52" t="s">
        <v>26</v>
      </c>
      <c r="O14" s="47" t="s">
        <v>51</v>
      </c>
      <c r="P14">
        <f t="shared" si="0"/>
        <v>1</v>
      </c>
    </row>
    <row r="15" spans="1:16">
      <c r="A15" s="43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2" t="s">
        <v>82</v>
      </c>
      <c r="B33" s="45" t="s">
        <v>17</v>
      </c>
      <c r="C33" s="45" t="s">
        <v>17</v>
      </c>
      <c r="D33" s="47" t="s">
        <v>83</v>
      </c>
      <c r="E33" s="47" t="s">
        <v>83</v>
      </c>
      <c r="F33" s="47" t="s">
        <v>83</v>
      </c>
      <c r="G33" s="47" t="s">
        <v>83</v>
      </c>
      <c r="H33" s="45" t="s">
        <v>17</v>
      </c>
      <c r="I33" s="48" t="s">
        <v>84</v>
      </c>
      <c r="J33" s="50">
        <v>0.34375</v>
      </c>
      <c r="K33" s="50">
        <v>0.16666666666666666</v>
      </c>
      <c r="L33" s="50">
        <v>0.22916666666666666</v>
      </c>
      <c r="M33" s="50">
        <v>0.42708333333333331</v>
      </c>
      <c r="N33" s="52" t="s">
        <v>26</v>
      </c>
      <c r="O33" s="47" t="s">
        <v>83</v>
      </c>
      <c r="P33">
        <f t="shared" si="0"/>
        <v>0</v>
      </c>
    </row>
    <row r="34" spans="1:16" s="35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1" t="s">
        <v>126</v>
      </c>
      <c r="B61" s="46" t="s">
        <v>35</v>
      </c>
      <c r="C61" s="46" t="s">
        <v>35</v>
      </c>
      <c r="D61" s="46" t="s">
        <v>35</v>
      </c>
      <c r="E61" s="46" t="s">
        <v>17</v>
      </c>
      <c r="F61" s="46" t="s">
        <v>35</v>
      </c>
      <c r="G61" s="46" t="s">
        <v>17</v>
      </c>
      <c r="H61" s="46" t="s">
        <v>17</v>
      </c>
      <c r="I61" s="46" t="s">
        <v>25</v>
      </c>
      <c r="J61" s="51">
        <v>0.48958333333333331</v>
      </c>
      <c r="K61" s="51">
        <v>0.72916666666666663</v>
      </c>
      <c r="L61" s="51">
        <v>0.60416666666666663</v>
      </c>
      <c r="M61" s="51">
        <v>0.8125</v>
      </c>
      <c r="N61" s="53" t="s">
        <v>37</v>
      </c>
      <c r="O61" s="46" t="s">
        <v>35</v>
      </c>
      <c r="P61">
        <f t="shared" ref="P61" si="2">IF(O61="OFF",0,
IF(VALUE(LEFT(O61,2))&lt;12,0,1))</f>
        <v>0</v>
      </c>
    </row>
    <row r="62" spans="1:16">
      <c r="A62" s="41" t="s">
        <v>127</v>
      </c>
      <c r="B62" s="46" t="s">
        <v>123</v>
      </c>
      <c r="C62" s="46" t="s">
        <v>123</v>
      </c>
      <c r="D62" s="46" t="s">
        <v>123</v>
      </c>
      <c r="E62" s="46" t="s">
        <v>123</v>
      </c>
      <c r="F62" s="46" t="s">
        <v>17</v>
      </c>
      <c r="G62" s="46" t="s">
        <v>17</v>
      </c>
      <c r="H62" s="46" t="s">
        <v>17</v>
      </c>
      <c r="I62" s="46" t="s">
        <v>29</v>
      </c>
      <c r="J62" s="51">
        <v>0.375</v>
      </c>
      <c r="K62" s="51">
        <v>0.47916666666666669</v>
      </c>
      <c r="L62" s="51">
        <v>0.58333333333333337</v>
      </c>
      <c r="M62" s="51">
        <v>0.67708333333333337</v>
      </c>
      <c r="N62" s="53" t="s">
        <v>26</v>
      </c>
      <c r="O62" s="46" t="s">
        <v>123</v>
      </c>
    </row>
    <row r="63" spans="1:16">
      <c r="A63" s="41" t="s">
        <v>128</v>
      </c>
      <c r="B63" s="46" t="s">
        <v>24</v>
      </c>
      <c r="C63" s="46" t="s">
        <v>17</v>
      </c>
      <c r="D63" s="46" t="s">
        <v>24</v>
      </c>
      <c r="E63" s="46" t="s">
        <v>24</v>
      </c>
      <c r="F63" s="46" t="s">
        <v>24</v>
      </c>
      <c r="G63" s="46" t="s">
        <v>17</v>
      </c>
      <c r="H63" s="46" t="s">
        <v>17</v>
      </c>
      <c r="I63" s="46" t="s">
        <v>43</v>
      </c>
      <c r="J63" s="51">
        <v>0.42708333333333331</v>
      </c>
      <c r="K63" s="51">
        <v>0.64583333333333337</v>
      </c>
      <c r="L63" s="51">
        <v>0.51041666666666663</v>
      </c>
      <c r="M63" s="51">
        <v>0.76041666666666663</v>
      </c>
      <c r="N63" s="53" t="s">
        <v>37</v>
      </c>
      <c r="O63" s="46" t="s">
        <v>24</v>
      </c>
    </row>
    <row r="64" spans="1:16">
      <c r="A64" s="40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4" t="s">
        <v>130</v>
      </c>
      <c r="B65" s="40"/>
      <c r="C65" s="40"/>
      <c r="D65" s="40"/>
      <c r="E65" s="40"/>
      <c r="F65" s="40"/>
      <c r="G65" s="40"/>
      <c r="H65" s="40"/>
      <c r="I65" s="49"/>
      <c r="J65" s="40"/>
      <c r="K65" s="40"/>
      <c r="L65" s="40"/>
      <c r="M65" s="40"/>
      <c r="N65" s="40"/>
      <c r="O65" s="40"/>
    </row>
    <row r="66" spans="1:15">
      <c r="A66" s="39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5" priority="3" operator="equal">
      <formula>"OFF"</formula>
    </cfRule>
  </conditionalFormatting>
  <conditionalFormatting sqref="I56:I57">
    <cfRule type="cellIs" dxfId="1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0625" defaultRowHeight="1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132</v>
      </c>
      <c r="P1" s="38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6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139</v>
      </c>
      <c r="P1" s="55" t="s">
        <v>140</v>
      </c>
    </row>
    <row r="2" spans="1:16">
      <c r="A2" s="57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8">
        <v>0.125</v>
      </c>
      <c r="K2" s="58">
        <v>0.35416666666666669</v>
      </c>
      <c r="L2" s="58">
        <v>0.26041666666666669</v>
      </c>
      <c r="M2" s="58">
        <v>0.44791666666666669</v>
      </c>
      <c r="N2" s="59" t="s">
        <v>19</v>
      </c>
      <c r="O2" s="58" t="s">
        <v>16</v>
      </c>
      <c r="P2">
        <f t="shared" ref="P2:P65" si="0">IF(O2="OFF",0,
IF(VALUE(LEFT(O2,2))&lt;12,0,1))</f>
        <v>0</v>
      </c>
    </row>
    <row r="3" spans="1:16">
      <c r="A3" s="57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7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24</v>
      </c>
      <c r="P4">
        <f t="shared" si="0"/>
        <v>0</v>
      </c>
    </row>
    <row r="5" spans="1:16">
      <c r="A5" s="57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28</v>
      </c>
      <c r="P5">
        <f t="shared" si="0"/>
        <v>0</v>
      </c>
    </row>
    <row r="6" spans="1:16">
      <c r="A6" s="60" t="s">
        <v>142</v>
      </c>
      <c r="B6" s="61" t="s">
        <v>16</v>
      </c>
      <c r="C6" s="61" t="s">
        <v>16</v>
      </c>
      <c r="D6" s="61" t="s">
        <v>17</v>
      </c>
      <c r="E6" s="61" t="s">
        <v>17</v>
      </c>
      <c r="F6" s="61" t="s">
        <v>17</v>
      </c>
      <c r="G6" s="61" t="s">
        <v>16</v>
      </c>
      <c r="H6" s="61" t="s">
        <v>16</v>
      </c>
      <c r="I6" s="62" t="s">
        <v>18</v>
      </c>
      <c r="J6" s="63">
        <v>0.125</v>
      </c>
      <c r="K6" s="63">
        <v>0.33333333333333331</v>
      </c>
      <c r="L6" s="63">
        <v>0.21875</v>
      </c>
      <c r="M6" s="63">
        <v>0.4375</v>
      </c>
      <c r="N6" s="64" t="s">
        <v>41</v>
      </c>
      <c r="O6" s="63" t="s">
        <v>16</v>
      </c>
      <c r="P6">
        <f t="shared" si="0"/>
        <v>0</v>
      </c>
    </row>
    <row r="7" spans="1:16">
      <c r="A7" s="57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7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7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7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7" t="s">
        <v>145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24</v>
      </c>
      <c r="P11">
        <f t="shared" si="0"/>
        <v>0</v>
      </c>
    </row>
    <row r="12" spans="1:16">
      <c r="A12" s="57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7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7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7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5" t="s">
        <v>50</v>
      </c>
      <c r="B16" s="66" t="s">
        <v>21</v>
      </c>
      <c r="C16" s="66" t="s">
        <v>21</v>
      </c>
      <c r="D16" s="66" t="s">
        <v>21</v>
      </c>
      <c r="E16" s="66" t="s">
        <v>17</v>
      </c>
      <c r="F16" s="66" t="s">
        <v>17</v>
      </c>
      <c r="G16" s="66" t="s">
        <v>17</v>
      </c>
      <c r="H16" s="66" t="s">
        <v>21</v>
      </c>
      <c r="I16" s="67" t="s">
        <v>146</v>
      </c>
      <c r="J16" s="68">
        <v>0.59375</v>
      </c>
      <c r="K16" s="68">
        <v>0.84375</v>
      </c>
      <c r="L16" s="68">
        <v>0.73958333333333337</v>
      </c>
      <c r="M16" s="68">
        <v>0.94791666666666663</v>
      </c>
      <c r="N16" s="69" t="s">
        <v>141</v>
      </c>
      <c r="O16" s="68" t="s">
        <v>21</v>
      </c>
      <c r="P16">
        <f t="shared" si="0"/>
        <v>1</v>
      </c>
    </row>
    <row r="17" spans="1:16">
      <c r="A17" s="57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53</v>
      </c>
      <c r="P17">
        <f t="shared" si="0"/>
        <v>0</v>
      </c>
    </row>
    <row r="18" spans="1:16">
      <c r="A18" s="57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24</v>
      </c>
      <c r="P18">
        <f t="shared" si="0"/>
        <v>0</v>
      </c>
    </row>
    <row r="19" spans="1:16">
      <c r="A19" s="57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7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7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7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7" t="s">
        <v>59</v>
      </c>
      <c r="B23" s="1" t="s">
        <v>147</v>
      </c>
      <c r="C23" s="1" t="s">
        <v>147</v>
      </c>
      <c r="D23" s="1" t="s">
        <v>147</v>
      </c>
      <c r="E23" s="1" t="s">
        <v>147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147</v>
      </c>
      <c r="P23">
        <f t="shared" si="0"/>
        <v>0</v>
      </c>
    </row>
    <row r="24" spans="1:16">
      <c r="A24" s="65" t="s">
        <v>148</v>
      </c>
      <c r="B24" s="66" t="s">
        <v>17</v>
      </c>
      <c r="C24" s="66" t="s">
        <v>17</v>
      </c>
      <c r="D24" s="66" t="s">
        <v>17</v>
      </c>
      <c r="E24" s="70" t="s">
        <v>21</v>
      </c>
      <c r="F24" s="70" t="s">
        <v>21</v>
      </c>
      <c r="G24" s="70" t="s">
        <v>21</v>
      </c>
      <c r="H24" s="70" t="s">
        <v>21</v>
      </c>
      <c r="I24" s="66" t="s">
        <v>32</v>
      </c>
      <c r="J24" s="68">
        <v>0.625</v>
      </c>
      <c r="K24" s="68">
        <v>0.71875</v>
      </c>
      <c r="L24" s="68">
        <v>0.8125</v>
      </c>
      <c r="M24" s="68">
        <v>0.9375</v>
      </c>
      <c r="N24" s="69" t="s">
        <v>41</v>
      </c>
      <c r="O24" s="68" t="s">
        <v>21</v>
      </c>
      <c r="P24">
        <f t="shared" si="0"/>
        <v>1</v>
      </c>
    </row>
    <row r="25" spans="1:16">
      <c r="A25" s="57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7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7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7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7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7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7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7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123</v>
      </c>
      <c r="P32">
        <f t="shared" si="0"/>
        <v>0</v>
      </c>
    </row>
    <row r="33" spans="1:16">
      <c r="A33" s="57" t="s">
        <v>149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7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24</v>
      </c>
      <c r="P34">
        <f t="shared" si="0"/>
        <v>0</v>
      </c>
    </row>
    <row r="35" spans="1:16">
      <c r="A35" s="57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77</v>
      </c>
      <c r="P35">
        <f t="shared" si="0"/>
        <v>1</v>
      </c>
    </row>
    <row r="36" spans="1:16">
      <c r="A36" s="57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45</v>
      </c>
      <c r="P36">
        <f t="shared" si="0"/>
        <v>0</v>
      </c>
    </row>
    <row r="37" spans="1:16">
      <c r="A37" s="57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5" t="s">
        <v>82</v>
      </c>
      <c r="B38" s="66" t="s">
        <v>31</v>
      </c>
      <c r="C38" s="66" t="s">
        <v>31</v>
      </c>
      <c r="D38" s="66" t="s">
        <v>31</v>
      </c>
      <c r="E38" s="66" t="s">
        <v>31</v>
      </c>
      <c r="F38" s="66" t="s">
        <v>17</v>
      </c>
      <c r="G38" s="66" t="s">
        <v>17</v>
      </c>
      <c r="H38" s="66" t="s">
        <v>17</v>
      </c>
      <c r="I38" s="67" t="s">
        <v>29</v>
      </c>
      <c r="J38" s="68">
        <v>0.91666666666666663</v>
      </c>
      <c r="K38" s="68">
        <v>8.3333333333333329E-2</v>
      </c>
      <c r="L38" s="68">
        <v>0</v>
      </c>
      <c r="M38" s="68">
        <v>0.16666666666666666</v>
      </c>
      <c r="N38" s="69" t="s">
        <v>141</v>
      </c>
      <c r="O38" s="68" t="s">
        <v>31</v>
      </c>
      <c r="P38">
        <f t="shared" si="0"/>
        <v>1</v>
      </c>
    </row>
    <row r="39" spans="1:16">
      <c r="A39" s="57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7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7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21</v>
      </c>
      <c r="P41">
        <f t="shared" si="0"/>
        <v>1</v>
      </c>
    </row>
    <row r="42" spans="1:16">
      <c r="A42" s="57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7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7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7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7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7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98</v>
      </c>
      <c r="P47">
        <f t="shared" si="0"/>
        <v>1</v>
      </c>
    </row>
    <row r="48" spans="1:16">
      <c r="A48" s="57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7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7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7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7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7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7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7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7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74</v>
      </c>
      <c r="P56">
        <f t="shared" si="0"/>
        <v>1</v>
      </c>
    </row>
    <row r="57" spans="1:16">
      <c r="A57" s="71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7" t="s">
        <v>150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7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7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7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7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7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35</v>
      </c>
      <c r="P63">
        <f t="shared" si="0"/>
        <v>0</v>
      </c>
    </row>
    <row r="64" spans="1:16">
      <c r="A64" s="57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7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7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2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5" t="s">
        <v>151</v>
      </c>
      <c r="B67" s="66" t="s">
        <v>123</v>
      </c>
      <c r="C67" s="66" t="s">
        <v>123</v>
      </c>
      <c r="D67" s="66" t="s">
        <v>123</v>
      </c>
      <c r="E67" s="66" t="s">
        <v>17</v>
      </c>
      <c r="F67" s="66" t="s">
        <v>17</v>
      </c>
      <c r="G67" s="66" t="s">
        <v>17</v>
      </c>
      <c r="H67" s="66" t="s">
        <v>123</v>
      </c>
      <c r="I67" s="67" t="s">
        <v>22</v>
      </c>
      <c r="J67" s="68">
        <v>0.36458333333333331</v>
      </c>
      <c r="K67" s="68">
        <v>0.57291666666666663</v>
      </c>
      <c r="L67" s="68">
        <v>0.44791666666666669</v>
      </c>
      <c r="M67" s="68">
        <v>0.67708333333333337</v>
      </c>
      <c r="N67" s="69" t="s">
        <v>41</v>
      </c>
      <c r="O67" s="68" t="s">
        <v>123</v>
      </c>
      <c r="P67">
        <f t="shared" si="1"/>
        <v>0</v>
      </c>
    </row>
    <row r="68" spans="1:16">
      <c r="A68" s="57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3" priority="8" operator="equal">
      <formula>"OFF"</formula>
    </cfRule>
  </conditionalFormatting>
  <conditionalFormatting sqref="I61:I62">
    <cfRule type="cellIs" dxfId="12" priority="7" operator="equal">
      <formula>"OFF"</formula>
    </cfRule>
  </conditionalFormatting>
  <conditionalFormatting sqref="O12:O14">
    <cfRule type="cellIs" dxfId="11" priority="4" operator="equal">
      <formula>"OFF"</formula>
    </cfRule>
  </conditionalFormatting>
  <conditionalFormatting sqref="O51:O56">
    <cfRule type="cellIs" dxfId="10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3" bestFit="1" customWidth="1"/>
    <col min="14" max="14" width="17.28515625" bestFit="1" customWidth="1"/>
    <col min="15" max="15" width="14.28515625" customWidth="1"/>
  </cols>
  <sheetData>
    <row r="1" spans="1:16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6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152</v>
      </c>
      <c r="P1" s="75" t="s">
        <v>140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153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/>
  <cols>
    <col min="1" max="1" width="26.7109375" customWidth="1"/>
    <col min="2" max="2" width="19.140625" style="29" customWidth="1"/>
    <col min="3" max="3" width="22.5703125" customWidth="1"/>
    <col min="4" max="4" width="16.7109375" bestFit="1" customWidth="1"/>
  </cols>
  <sheetData>
    <row r="1" spans="1:4" ht="16.5" thickBot="1">
      <c r="A1" s="24" t="s">
        <v>0</v>
      </c>
      <c r="B1" s="28" t="s">
        <v>154</v>
      </c>
      <c r="C1" s="24" t="s">
        <v>155</v>
      </c>
      <c r="D1" s="24" t="s">
        <v>13</v>
      </c>
    </row>
    <row r="2" spans="1:4">
      <c r="A2" s="16" t="s">
        <v>71</v>
      </c>
      <c r="B2" s="29">
        <v>46315</v>
      </c>
      <c r="C2" t="s">
        <v>156</v>
      </c>
      <c r="D2" t="str">
        <f>_xlfn.IFNA(VLOOKUP(A2,EST!A:N,14,FALSE),"")</f>
        <v>Christopher Rodas</v>
      </c>
    </row>
    <row r="3" spans="1:4">
      <c r="A3" t="s">
        <v>38</v>
      </c>
      <c r="B3" s="29">
        <v>46315</v>
      </c>
      <c r="C3" t="s">
        <v>156</v>
      </c>
      <c r="D3" t="str">
        <f>_xlfn.IFNA(VLOOKUP(A3,EST!A:N,14,FALSE),"")</f>
        <v>Michael Dominguez</v>
      </c>
    </row>
    <row r="4" spans="1:4">
      <c r="A4" t="s">
        <v>15</v>
      </c>
      <c r="B4" s="29">
        <v>46315</v>
      </c>
      <c r="C4" t="s">
        <v>156</v>
      </c>
      <c r="D4" t="str">
        <f>_xlfn.IFNA(VLOOKUP(A4,EST!A:N,14,FALSE),"")</f>
        <v>Remmo Panaligan</v>
      </c>
    </row>
    <row r="5" spans="1:4">
      <c r="A5" t="s">
        <v>59</v>
      </c>
      <c r="B5" s="29">
        <v>46316</v>
      </c>
      <c r="C5" t="s">
        <v>156</v>
      </c>
      <c r="D5" t="str">
        <f>_xlfn.IFNA(VLOOKUP(A5,EST!A:N,14,FALSE),"")</f>
        <v>Michael Dominguez</v>
      </c>
    </row>
    <row r="6" spans="1:4">
      <c r="A6" t="s">
        <v>89</v>
      </c>
      <c r="B6" s="29">
        <v>46317</v>
      </c>
      <c r="C6" t="s">
        <v>156</v>
      </c>
      <c r="D6" t="str">
        <f>_xlfn.IFNA(VLOOKUP(A6,EST!A:N,14,FALSE),"")</f>
        <v>Manilyn Abellar</v>
      </c>
    </row>
    <row r="7" spans="1:4">
      <c r="A7" t="s">
        <v>44</v>
      </c>
      <c r="B7" s="29">
        <v>46317</v>
      </c>
      <c r="C7" t="s">
        <v>156</v>
      </c>
      <c r="D7" t="str">
        <f>_xlfn.IFNA(VLOOKUP(A7,EST!A:N,14,FALSE),"")</f>
        <v>Anmecha Valencia</v>
      </c>
    </row>
    <row r="8" spans="1:4">
      <c r="A8" t="s">
        <v>59</v>
      </c>
      <c r="B8" s="29">
        <v>46317</v>
      </c>
      <c r="C8" t="s">
        <v>156</v>
      </c>
      <c r="D8" t="str">
        <f>_xlfn.IFNA(VLOOKUP(A8,EST!A:N,14,FALSE),"")</f>
        <v>Michael Dominguez</v>
      </c>
    </row>
    <row r="9" spans="1:4">
      <c r="A9" t="s">
        <v>58</v>
      </c>
      <c r="B9" s="29">
        <v>46318</v>
      </c>
      <c r="C9" t="s">
        <v>156</v>
      </c>
      <c r="D9" t="str">
        <f>_xlfn.IFNA(VLOOKUP(A9,EST!A:N,14,FALSE),"")</f>
        <v>Anmecha Valencia</v>
      </c>
    </row>
    <row r="10" spans="1:4">
      <c r="A10" t="s">
        <v>47</v>
      </c>
      <c r="B10" s="29">
        <v>46318</v>
      </c>
      <c r="C10" t="s">
        <v>156</v>
      </c>
      <c r="D10" t="str">
        <f>_xlfn.IFNA(VLOOKUP(A10,EST!A:N,14,FALSE),"")</f>
        <v>Michael Dominguez</v>
      </c>
    </row>
    <row r="11" spans="1:4">
      <c r="A11" t="s">
        <v>118</v>
      </c>
      <c r="B11" s="29">
        <v>46318</v>
      </c>
      <c r="C11" t="s">
        <v>156</v>
      </c>
      <c r="D11" t="str">
        <f>_xlfn.IFNA(VLOOKUP(A11,EST!A:N,14,FALSE),"")</f>
        <v>Anmecha Valencia</v>
      </c>
    </row>
    <row r="12" spans="1:4">
      <c r="A12" t="s">
        <v>50</v>
      </c>
      <c r="B12" s="29">
        <v>46319</v>
      </c>
      <c r="C12" t="s">
        <v>157</v>
      </c>
      <c r="D12" t="str">
        <f>_xlfn.IFNA(VLOOKUP(A12,EST!A:N,14,FALSE),"")</f>
        <v>Manilyn Abellar</v>
      </c>
    </row>
    <row r="13" spans="1:4">
      <c r="A13" s="10" t="s">
        <v>107</v>
      </c>
      <c r="B13" s="29">
        <v>46320</v>
      </c>
      <c r="C13" t="s">
        <v>156</v>
      </c>
      <c r="D13" t="str">
        <f>_xlfn.IFNA(VLOOKUP(A13,EST!A:N,14,FALSE),"")</f>
        <v>Remmo Panaligan</v>
      </c>
    </row>
    <row r="14" spans="1:4">
      <c r="A14" t="s">
        <v>50</v>
      </c>
      <c r="B14" s="29">
        <v>46320</v>
      </c>
      <c r="C14" t="s">
        <v>157</v>
      </c>
      <c r="D14" t="str">
        <f>_xlfn.IFNA(VLOOKUP(A14,EST!A:N,14,FALSE),"")</f>
        <v>Manilyn Abellar</v>
      </c>
    </row>
    <row r="15" spans="1:4">
      <c r="A15" t="s">
        <v>122</v>
      </c>
      <c r="B15" s="29">
        <v>46321</v>
      </c>
      <c r="C15" t="s">
        <v>156</v>
      </c>
      <c r="D15" t="str">
        <f>_xlfn.IFNA(VLOOKUP(A15,EST!A:N,14,FALSE),"")</f>
        <v>Michael Dominguez</v>
      </c>
    </row>
    <row r="16" spans="1:4">
      <c r="A16" t="s">
        <v>85</v>
      </c>
      <c r="B16" s="29">
        <v>46321</v>
      </c>
      <c r="C16" t="s">
        <v>156</v>
      </c>
      <c r="D16" t="str">
        <f>_xlfn.IFNA(VLOOKUP(A16,EST!A:N,14,FALSE),"")</f>
        <v>Remmo Panaligan</v>
      </c>
    </row>
    <row r="17" spans="1:4">
      <c r="A17" t="s">
        <v>70</v>
      </c>
      <c r="B17" s="29">
        <v>46321</v>
      </c>
      <c r="C17" t="s">
        <v>156</v>
      </c>
      <c r="D17" t="str">
        <f>_xlfn.IFNA(VLOOKUP(A17,EST!A:N,14,FALSE),"")</f>
        <v>Remmo Panaligan</v>
      </c>
    </row>
    <row r="18" spans="1:4">
      <c r="A18" t="s">
        <v>58</v>
      </c>
      <c r="B18" s="29">
        <v>46321</v>
      </c>
      <c r="C18" t="s">
        <v>156</v>
      </c>
      <c r="D18" t="str">
        <f>_xlfn.IFNA(VLOOKUP(A18,EST!A:N,14,FALSE),"")</f>
        <v>Anmecha Valencia</v>
      </c>
    </row>
    <row r="19" spans="1:4">
      <c r="A19" t="s">
        <v>122</v>
      </c>
      <c r="B19" s="29">
        <v>46322</v>
      </c>
      <c r="C19" t="s">
        <v>156</v>
      </c>
      <c r="D19" t="str">
        <f>_xlfn.IFNA(VLOOKUP(A19,EST!A:N,14,FALSE),"")</f>
        <v>Michael Dominguez</v>
      </c>
    </row>
    <row r="20" spans="1:4">
      <c r="A20" t="s">
        <v>85</v>
      </c>
      <c r="B20" s="29">
        <v>46322</v>
      </c>
      <c r="C20" t="s">
        <v>156</v>
      </c>
      <c r="D20" t="str">
        <f>_xlfn.IFNA(VLOOKUP(A20,EST!A:N,14,FALSE),"")</f>
        <v>Remmo Panaligan</v>
      </c>
    </row>
    <row r="21" spans="1:4">
      <c r="A21" t="s">
        <v>70</v>
      </c>
      <c r="B21" s="29">
        <v>46322</v>
      </c>
      <c r="C21" t="s">
        <v>156</v>
      </c>
      <c r="D21" t="str">
        <f>_xlfn.IFNA(VLOOKUP(A21,EST!A:N,14,FALSE),"")</f>
        <v>Remmo Panaligan</v>
      </c>
    </row>
    <row r="22" spans="1:4">
      <c r="A22" t="s">
        <v>58</v>
      </c>
      <c r="B22" s="29">
        <v>46322</v>
      </c>
      <c r="C22" t="s">
        <v>156</v>
      </c>
      <c r="D22" t="str">
        <f>_xlfn.IFNA(VLOOKUP(A22,EST!A:N,14,FALSE),"")</f>
        <v>Anmecha Valencia</v>
      </c>
    </row>
    <row r="23" spans="1:4">
      <c r="A23" t="s">
        <v>65</v>
      </c>
      <c r="B23" s="29">
        <v>46322</v>
      </c>
      <c r="C23" t="s">
        <v>156</v>
      </c>
      <c r="D23" t="str">
        <f>_xlfn.IFNA(VLOOKUP(A23,EST!A:N,14,FALSE),"")</f>
        <v>Christopher Rodas</v>
      </c>
    </row>
    <row r="24" spans="1:4">
      <c r="A24" t="s">
        <v>82</v>
      </c>
      <c r="B24" s="29">
        <v>46322</v>
      </c>
      <c r="C24" t="s">
        <v>157</v>
      </c>
      <c r="D24" t="str">
        <f>_xlfn.IFNA(VLOOKUP(A24,EST!A:N,14,FALSE),"")</f>
        <v>Manilyn Abellar</v>
      </c>
    </row>
    <row r="25" spans="1:4">
      <c r="A25" s="39" t="s">
        <v>50</v>
      </c>
      <c r="B25" s="29">
        <v>46322</v>
      </c>
      <c r="C25" t="s">
        <v>157</v>
      </c>
      <c r="D25" t="str">
        <f>_xlfn.IFNA(VLOOKUP(A25,EST!A:N,14,FALSE),"")</f>
        <v>Manilyn Abellar</v>
      </c>
    </row>
    <row r="26" spans="1:4">
      <c r="A26" s="39" t="s">
        <v>65</v>
      </c>
      <c r="B26" s="29">
        <v>46323</v>
      </c>
      <c r="C26" t="s">
        <v>156</v>
      </c>
      <c r="D26" t="str">
        <f>_xlfn.IFNA(VLOOKUP(A26,EST!A:N,14,FALSE),"")</f>
        <v>Christopher Rodas</v>
      </c>
    </row>
    <row r="27" spans="1:4">
      <c r="A27" t="s">
        <v>27</v>
      </c>
      <c r="B27" s="29">
        <v>46323</v>
      </c>
      <c r="C27" t="s">
        <v>156</v>
      </c>
      <c r="D27" t="str">
        <f>_xlfn.IFNA(VLOOKUP(A27,EST!A:N,14,FALSE),"")</f>
        <v>Manilyn Abellar</v>
      </c>
    </row>
    <row r="28" spans="1:4">
      <c r="A28" s="77" t="s">
        <v>82</v>
      </c>
      <c r="B28" s="29">
        <v>46323</v>
      </c>
      <c r="C28" t="s">
        <v>157</v>
      </c>
      <c r="D28" t="str">
        <f>_xlfn.IFNA(VLOOKUP(A28,EST!A:N,14,FALSE),"")</f>
        <v>Manilyn Abellar</v>
      </c>
    </row>
    <row r="29" spans="1:4">
      <c r="A29" t="s">
        <v>50</v>
      </c>
      <c r="B29" s="29">
        <v>46323</v>
      </c>
      <c r="C29" t="s">
        <v>157</v>
      </c>
      <c r="D29" t="str">
        <f>_xlfn.IFNA(VLOOKUP(A29,EST!A:N,14,FALSE),"")</f>
        <v>Manilyn Abellar</v>
      </c>
    </row>
    <row r="30" spans="1:4">
      <c r="A30" t="s">
        <v>99</v>
      </c>
      <c r="B30" s="29">
        <v>46324</v>
      </c>
      <c r="C30" t="s">
        <v>156</v>
      </c>
      <c r="D30" t="str">
        <f>_xlfn.IFNA(VLOOKUP(A30,EST!A:N,14,FALSE),"")</f>
        <v>Remmo Panaligan</v>
      </c>
    </row>
    <row r="31" spans="1:4">
      <c r="A31" t="s">
        <v>49</v>
      </c>
      <c r="B31" s="29">
        <v>46324</v>
      </c>
      <c r="C31" t="s">
        <v>156</v>
      </c>
      <c r="D31" t="str">
        <f>_xlfn.IFNA(VLOOKUP(A31,EST!A:N,14,FALSE),"")</f>
        <v>Christopher Rodas</v>
      </c>
    </row>
    <row r="32" spans="1:4">
      <c r="A32" t="s">
        <v>58</v>
      </c>
      <c r="B32" s="29">
        <v>46324</v>
      </c>
      <c r="C32" t="s">
        <v>156</v>
      </c>
      <c r="D32" t="str">
        <f>_xlfn.IFNA(VLOOKUP(A32,EST!A:N,14,FALSE),"")</f>
        <v>Anmecha Valencia</v>
      </c>
    </row>
    <row r="33" spans="1:4">
      <c r="A33" t="s">
        <v>89</v>
      </c>
      <c r="B33" s="29">
        <v>46324</v>
      </c>
      <c r="C33" t="s">
        <v>156</v>
      </c>
      <c r="D33" t="str">
        <f>_xlfn.IFNA(VLOOKUP(A33,EST!A:N,14,FALSE),"")</f>
        <v>Manilyn Abellar</v>
      </c>
    </row>
    <row r="34" spans="1:4">
      <c r="A34" s="77" t="s">
        <v>82</v>
      </c>
      <c r="B34" s="29">
        <v>46324</v>
      </c>
      <c r="C34" t="s">
        <v>157</v>
      </c>
      <c r="D34" t="str">
        <f>_xlfn.IFNA(VLOOKUP(A34,EST!A:N,14,FALSE),"")</f>
        <v>Manilyn Abellar</v>
      </c>
    </row>
    <row r="35" spans="1:4">
      <c r="A35" t="s">
        <v>50</v>
      </c>
      <c r="B35" s="29">
        <v>46324</v>
      </c>
      <c r="C35" t="s">
        <v>157</v>
      </c>
      <c r="D35" t="str">
        <f>_xlfn.IFNA(VLOOKUP(A35,EST!A:N,14,FALSE),"")</f>
        <v>Manilyn Abellar</v>
      </c>
    </row>
    <row r="36" spans="1:4">
      <c r="A36" t="s">
        <v>73</v>
      </c>
      <c r="B36" s="29">
        <v>46325</v>
      </c>
      <c r="C36" t="s">
        <v>156</v>
      </c>
      <c r="D36" t="str">
        <f>_xlfn.IFNA(VLOOKUP(A36,EST!A:N,14,FALSE),"")</f>
        <v>Manilyn Abellar</v>
      </c>
    </row>
    <row r="37" spans="1:4">
      <c r="A37" s="77" t="s">
        <v>82</v>
      </c>
      <c r="B37" s="29">
        <v>46325</v>
      </c>
      <c r="C37" t="s">
        <v>157</v>
      </c>
      <c r="D37" t="str">
        <f>_xlfn.IFNA(VLOOKUP(A37,EST!A:N,14,FALSE),"")</f>
        <v>Manilyn Abellar</v>
      </c>
    </row>
    <row r="38" spans="1:4">
      <c r="A38" t="s">
        <v>50</v>
      </c>
      <c r="B38" s="29">
        <v>46325</v>
      </c>
      <c r="C38" t="s">
        <v>157</v>
      </c>
      <c r="D38" t="str">
        <f>_xlfn.IFNA(VLOOKUP(A38,EST!A:N,14,FALSE),"")</f>
        <v>Manilyn Abellar</v>
      </c>
    </row>
    <row r="39" spans="1:4">
      <c r="A39" t="s">
        <v>58</v>
      </c>
      <c r="B39" s="29">
        <v>46325</v>
      </c>
      <c r="C39" t="s">
        <v>156</v>
      </c>
      <c r="D39" t="str">
        <f>_xlfn.IFNA(VLOOKUP(A39,EST!A:N,14,FALSE),"")</f>
        <v>Anmecha Valencia</v>
      </c>
    </row>
    <row r="40" spans="1:4">
      <c r="A40" t="s">
        <v>47</v>
      </c>
      <c r="B40" s="29">
        <v>46325</v>
      </c>
      <c r="C40" t="s">
        <v>156</v>
      </c>
      <c r="D40" t="str">
        <f>_xlfn.IFNA(VLOOKUP(A40,EST!A:N,14,FALSE),"")</f>
        <v>Michael Dominguez</v>
      </c>
    </row>
    <row r="41" spans="1:4">
      <c r="A41" t="s">
        <v>23</v>
      </c>
      <c r="B41" s="29">
        <v>46325</v>
      </c>
      <c r="C41" t="s">
        <v>156</v>
      </c>
      <c r="D41" t="str">
        <f>_xlfn.IFNA(VLOOKUP(A41,EST!A:N,14,FALSE),"")</f>
        <v>Manilyn Abellar</v>
      </c>
    </row>
    <row r="42" spans="1:4">
      <c r="A42" t="s">
        <v>60</v>
      </c>
      <c r="B42" s="29">
        <v>46326</v>
      </c>
      <c r="C42" t="s">
        <v>156</v>
      </c>
      <c r="D42" t="str">
        <f>_xlfn.IFNA(VLOOKUP(A42,EST!A:N,14,FALSE),"")</f>
        <v>Christopher Rodas</v>
      </c>
    </row>
    <row r="43" spans="1:4">
      <c r="A43" s="77" t="s">
        <v>82</v>
      </c>
      <c r="B43" s="29">
        <v>46326</v>
      </c>
      <c r="C43" t="s">
        <v>157</v>
      </c>
      <c r="D43" t="str">
        <f>_xlfn.IFNA(VLOOKUP(A43,EST!A:N,14,FALSE),"")</f>
        <v>Manilyn Abellar</v>
      </c>
    </row>
    <row r="44" spans="1:4">
      <c r="A44" t="s">
        <v>50</v>
      </c>
      <c r="B44" s="29">
        <v>46326</v>
      </c>
      <c r="C44" t="s">
        <v>157</v>
      </c>
      <c r="D44" t="str">
        <f>_xlfn.IFNA(VLOOKUP(A44,EST!A:N,14,FALSE),"")</f>
        <v>Manilyn Abellar</v>
      </c>
    </row>
    <row r="45" spans="1:4">
      <c r="A45" t="s">
        <v>50</v>
      </c>
      <c r="B45" s="29">
        <v>46327</v>
      </c>
      <c r="C45" t="s">
        <v>157</v>
      </c>
      <c r="D45" t="str">
        <f>_xlfn.IFNA(VLOOKUP(A45,EST!A:N,14,FALSE),"")</f>
        <v>Manilyn Abellar</v>
      </c>
    </row>
    <row r="46" spans="1:4">
      <c r="A46" t="s">
        <v>71</v>
      </c>
      <c r="B46" s="29">
        <v>46327</v>
      </c>
      <c r="C46" t="s">
        <v>156</v>
      </c>
      <c r="D46" t="str">
        <f>_xlfn.IFNA(VLOOKUP(A46,EST!A:N,14,FALSE),"")</f>
        <v>Christopher Rodas</v>
      </c>
    </row>
    <row r="47" spans="1:4">
      <c r="A47" t="s">
        <v>108</v>
      </c>
      <c r="B47" s="29">
        <v>46327</v>
      </c>
      <c r="C47" t="s">
        <v>156</v>
      </c>
      <c r="D47" t="str">
        <f>_xlfn.IFNA(VLOOKUP(A47,EST!A:N,14,FALSE),"")</f>
        <v>Christopher Rodas</v>
      </c>
    </row>
    <row r="48" spans="1:4">
      <c r="A48" t="s">
        <v>158</v>
      </c>
      <c r="B48" s="29">
        <v>46328</v>
      </c>
      <c r="C48" t="s">
        <v>157</v>
      </c>
      <c r="D48" t="s">
        <v>41</v>
      </c>
    </row>
    <row r="49" spans="1:4">
      <c r="A49" t="s">
        <v>89</v>
      </c>
      <c r="B49" s="29">
        <v>46328</v>
      </c>
      <c r="C49" t="s">
        <v>156</v>
      </c>
      <c r="D49" t="str">
        <f>_xlfn.IFNA(VLOOKUP(A49,EST!A:N,14,FALSE),"")</f>
        <v>Manilyn Abellar</v>
      </c>
    </row>
    <row r="50" spans="1:4">
      <c r="A50" t="s">
        <v>71</v>
      </c>
      <c r="B50" s="29">
        <v>46328</v>
      </c>
      <c r="C50" t="s">
        <v>156</v>
      </c>
      <c r="D50" t="str">
        <f>_xlfn.IFNA(VLOOKUP(A50,EST!A:N,14,FALSE),"")</f>
        <v>Christopher Rodas</v>
      </c>
    </row>
    <row r="51" spans="1:4">
      <c r="A51" t="s">
        <v>159</v>
      </c>
      <c r="B51" s="29">
        <v>46328</v>
      </c>
      <c r="C51" t="s">
        <v>156</v>
      </c>
      <c r="D51" t="s">
        <v>33</v>
      </c>
    </row>
    <row r="52" spans="1:4">
      <c r="A52" t="s">
        <v>158</v>
      </c>
      <c r="B52" s="29">
        <v>46329</v>
      </c>
      <c r="C52" t="s">
        <v>157</v>
      </c>
      <c r="D52" t="s">
        <v>41</v>
      </c>
    </row>
    <row r="53" spans="1:4">
      <c r="A53" t="s">
        <v>15</v>
      </c>
      <c r="B53" s="29">
        <v>46329</v>
      </c>
      <c r="C53" t="s">
        <v>156</v>
      </c>
      <c r="D53" t="str">
        <f>_xlfn.IFNA(VLOOKUP(A53,EST!A:N,14,FALSE),"")</f>
        <v>Remmo Panaligan</v>
      </c>
    </row>
    <row r="54" spans="1:4">
      <c r="A54" t="s">
        <v>71</v>
      </c>
      <c r="B54" s="29">
        <v>46329</v>
      </c>
      <c r="C54" t="s">
        <v>156</v>
      </c>
      <c r="D54" t="str">
        <f>_xlfn.IFNA(VLOOKUP(A54,EST!A:N,14,FALSE),"")</f>
        <v>Christopher Rodas</v>
      </c>
    </row>
    <row r="55" spans="1:4">
      <c r="A55" t="s">
        <v>90</v>
      </c>
      <c r="B55" s="29">
        <v>46329</v>
      </c>
      <c r="C55" t="s">
        <v>156</v>
      </c>
      <c r="D55" t="str">
        <f>_xlfn.IFNA(VLOOKUP(A55,EST!A:N,14,FALSE),"")</f>
        <v>Christopher Rodas</v>
      </c>
    </row>
    <row r="56" spans="1:4">
      <c r="A56" t="s">
        <v>126</v>
      </c>
      <c r="B56" s="29">
        <v>46330</v>
      </c>
      <c r="C56" t="s">
        <v>156</v>
      </c>
      <c r="D56" t="str">
        <f>_xlfn.IFNA(VLOOKUP(A56,EST!A:N,14,FALSE),"")</f>
        <v>Anmecha Valencia</v>
      </c>
    </row>
    <row r="57" spans="1:4">
      <c r="A57" t="s">
        <v>160</v>
      </c>
      <c r="B57" s="29">
        <v>46330</v>
      </c>
      <c r="C57" t="s">
        <v>156</v>
      </c>
      <c r="D57" t="s">
        <v>33</v>
      </c>
    </row>
    <row r="58" spans="1:4">
      <c r="A58" t="s">
        <v>71</v>
      </c>
      <c r="B58" s="29">
        <v>46330</v>
      </c>
      <c r="C58" t="s">
        <v>156</v>
      </c>
      <c r="D58" t="str">
        <f>_xlfn.IFNA(VLOOKUP(A58,EST!A:N,14,FALSE),"")</f>
        <v>Christopher Rodas</v>
      </c>
    </row>
    <row r="59" spans="1:4">
      <c r="A59" t="s">
        <v>90</v>
      </c>
      <c r="B59" s="29">
        <v>46330</v>
      </c>
      <c r="C59" t="s">
        <v>156</v>
      </c>
      <c r="D59" t="str">
        <f>_xlfn.IFNA(VLOOKUP(A59,EST!A:N,14,FALSE),"")</f>
        <v>Christopher Rodas</v>
      </c>
    </row>
    <row r="60" spans="1:4">
      <c r="A60" t="s">
        <v>161</v>
      </c>
      <c r="B60" s="29">
        <v>46331</v>
      </c>
      <c r="C60" t="s">
        <v>156</v>
      </c>
      <c r="D60" t="s">
        <v>37</v>
      </c>
    </row>
    <row r="61" spans="1:4">
      <c r="A61" t="s">
        <v>162</v>
      </c>
      <c r="B61" s="29">
        <v>46331</v>
      </c>
      <c r="C61" t="s">
        <v>156</v>
      </c>
      <c r="D61" t="s">
        <v>19</v>
      </c>
    </row>
    <row r="62" spans="1:4">
      <c r="A62" t="s">
        <v>89</v>
      </c>
      <c r="B62" s="29">
        <v>46331</v>
      </c>
      <c r="C62" t="s">
        <v>156</v>
      </c>
      <c r="D62" t="str">
        <f>_xlfn.IFNA(VLOOKUP(A62,EST!A:N,14,FALSE),"")</f>
        <v>Manilyn Abellar</v>
      </c>
    </row>
    <row r="63" spans="1:4">
      <c r="A63" t="s">
        <v>90</v>
      </c>
      <c r="B63" s="29">
        <v>46331</v>
      </c>
      <c r="C63" t="s">
        <v>156</v>
      </c>
      <c r="D63" t="str">
        <f>_xlfn.IFNA(VLOOKUP(A63,EST!A:N,14,FALSE),"")</f>
        <v>Christopher Rodas</v>
      </c>
    </row>
    <row r="64" spans="1:4">
      <c r="A64" t="s">
        <v>90</v>
      </c>
      <c r="B64" s="29">
        <v>46332</v>
      </c>
      <c r="C64" t="s">
        <v>156</v>
      </c>
      <c r="D64" t="str">
        <f>_xlfn.IFNA(VLOOKUP(A64,EST!A:N,14,FALSE),"")</f>
        <v>Christopher Rodas</v>
      </c>
    </row>
    <row r="65" spans="1:4">
      <c r="A65" t="s">
        <v>158</v>
      </c>
      <c r="B65" s="29">
        <v>46333</v>
      </c>
      <c r="C65" t="s">
        <v>156</v>
      </c>
      <c r="D65" t="s">
        <v>41</v>
      </c>
    </row>
    <row r="66" spans="1:4">
      <c r="A66" t="s">
        <v>158</v>
      </c>
      <c r="B66" s="29">
        <v>46334</v>
      </c>
      <c r="C66" t="s">
        <v>156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6" priority="2" operator="equal">
      <formula>"OFF"</formula>
    </cfRule>
  </conditionalFormatting>
  <conditionalFormatting sqref="A13">
    <cfRule type="cellIs" dxfId="5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5"/>
  <sheetViews>
    <sheetView workbookViewId="0">
      <selection activeCell="H14" sqref="H14"/>
    </sheetView>
  </sheetViews>
  <sheetFormatPr defaultRowHeight="15"/>
  <cols>
    <col min="1" max="1" width="28.7109375" style="27" bestFit="1" customWidth="1"/>
    <col min="2" max="2" width="15.28515625" style="29" customWidth="1"/>
    <col min="3" max="3" width="21.7109375" style="27" bestFit="1" customWidth="1"/>
    <col min="4" max="4" width="16.7109375" bestFit="1" customWidth="1"/>
  </cols>
  <sheetData>
    <row r="1" spans="1:4" ht="17.25" thickBot="1">
      <c r="A1" s="25" t="s">
        <v>0</v>
      </c>
      <c r="B1" s="28" t="s">
        <v>154</v>
      </c>
      <c r="C1" s="25" t="s">
        <v>155</v>
      </c>
      <c r="D1" s="25" t="s">
        <v>13</v>
      </c>
    </row>
    <row r="2" spans="1:4">
      <c r="A2" s="26" t="s">
        <v>55</v>
      </c>
      <c r="B2" s="29">
        <v>46315</v>
      </c>
      <c r="C2" s="27" t="s">
        <v>163</v>
      </c>
      <c r="D2" t="str">
        <f>VLOOKUP(A2,EST!A:N,14,FALSE)</f>
        <v>Anmecha Valencia</v>
      </c>
    </row>
    <row r="3" spans="1:4">
      <c r="A3" s="27" t="s">
        <v>67</v>
      </c>
      <c r="B3" s="29">
        <v>46316</v>
      </c>
      <c r="C3" s="27" t="s">
        <v>164</v>
      </c>
      <c r="D3" t="str">
        <f>VLOOKUP(A3,EST!A:N,14,FALSE)</f>
        <v>Michael Dominguez</v>
      </c>
    </row>
    <row r="4" spans="1:4">
      <c r="A4" s="11" t="s">
        <v>55</v>
      </c>
      <c r="B4" s="29">
        <v>46316</v>
      </c>
      <c r="C4" s="27" t="s">
        <v>165</v>
      </c>
      <c r="D4" t="str">
        <f>VLOOKUP(A4,EST!A:N,14,FALSE)</f>
        <v>Anmecha Valencia</v>
      </c>
    </row>
    <row r="5" spans="1:4">
      <c r="A5" s="27" t="s">
        <v>93</v>
      </c>
      <c r="B5" s="29">
        <v>46316</v>
      </c>
      <c r="C5" s="27" t="s">
        <v>166</v>
      </c>
      <c r="D5" t="str">
        <f>VLOOKUP(A5,EST!A:N,14,FALSE)</f>
        <v>Christopher Rodas</v>
      </c>
    </row>
    <row r="6" spans="1:4">
      <c r="A6" s="16" t="s">
        <v>23</v>
      </c>
      <c r="B6" s="29">
        <v>46318</v>
      </c>
      <c r="C6" s="27" t="s">
        <v>163</v>
      </c>
      <c r="D6" t="str">
        <f>VLOOKUP(A6,EST!A:N,14,FALSE)</f>
        <v>Manilyn Abellar</v>
      </c>
    </row>
    <row r="7" spans="1:4">
      <c r="A7" s="11" t="s">
        <v>126</v>
      </c>
      <c r="B7" s="29">
        <v>46318</v>
      </c>
      <c r="C7" s="27" t="s">
        <v>163</v>
      </c>
      <c r="D7" t="str">
        <f>VLOOKUP(A7,EST!A:N,14,FALSE)</f>
        <v>Anmecha Valencia</v>
      </c>
    </row>
    <row r="8" spans="1:4">
      <c r="A8" s="27" t="s">
        <v>112</v>
      </c>
      <c r="B8" s="29">
        <v>46319</v>
      </c>
      <c r="C8" s="27" t="s">
        <v>163</v>
      </c>
      <c r="D8" t="str">
        <f>_xlfn.IFNA(VLOOKUP(A8,EST!A:N,14,FALSE),"")</f>
        <v>Christopher Rodas</v>
      </c>
    </row>
    <row r="9" spans="1:4">
      <c r="A9" s="27" t="s">
        <v>118</v>
      </c>
      <c r="B9" s="29">
        <v>46319</v>
      </c>
      <c r="C9" s="27" t="s">
        <v>163</v>
      </c>
      <c r="D9" t="str">
        <f>_xlfn.IFNA(VLOOKUP(A9,EST!A:N,14,FALSE),"")</f>
        <v>Anmecha Valencia</v>
      </c>
    </row>
    <row r="10" spans="1:4">
      <c r="A10" s="27" t="s">
        <v>112</v>
      </c>
      <c r="B10" s="29">
        <v>46320</v>
      </c>
      <c r="C10" s="27" t="s">
        <v>163</v>
      </c>
      <c r="D10" t="str">
        <f>_xlfn.IFNA(VLOOKUP(A10,EST!A:N,14,FALSE),"")</f>
        <v>Christopher Rodas</v>
      </c>
    </row>
    <row r="11" spans="1:4">
      <c r="A11" s="11" t="s">
        <v>124</v>
      </c>
      <c r="B11" s="29">
        <v>46320</v>
      </c>
      <c r="C11" s="27" t="s">
        <v>163</v>
      </c>
      <c r="D11" t="str">
        <f>_xlfn.IFNA(VLOOKUP(A11,EST!A:N,14,FALSE),"")</f>
        <v>Michael Dominguez</v>
      </c>
    </row>
    <row r="12" spans="1:4">
      <c r="A12" s="16" t="s">
        <v>114</v>
      </c>
      <c r="B12" s="29">
        <v>46320</v>
      </c>
      <c r="C12" s="27" t="s">
        <v>163</v>
      </c>
      <c r="D12" t="str">
        <f>_xlfn.IFNA(VLOOKUP(A12,EST!A:N,14,FALSE),"")</f>
        <v>Christopher Rodas</v>
      </c>
    </row>
    <row r="13" spans="1:4">
      <c r="A13" s="27" t="s">
        <v>118</v>
      </c>
      <c r="B13" s="29">
        <v>46320</v>
      </c>
      <c r="C13" s="27" t="s">
        <v>163</v>
      </c>
      <c r="D13" t="str">
        <f>_xlfn.IFNA(VLOOKUP(A13,EST!A:N,14,FALSE),"")</f>
        <v>Anmecha Valencia</v>
      </c>
    </row>
    <row r="14" spans="1:4">
      <c r="A14" s="10" t="s">
        <v>44</v>
      </c>
      <c r="B14" s="29">
        <v>46321</v>
      </c>
      <c r="C14" s="27" t="s">
        <v>163</v>
      </c>
      <c r="D14" t="str">
        <f>_xlfn.IFNA(VLOOKUP(A14,EST!A:N,14,FALSE),"")</f>
        <v>Anmecha Valencia</v>
      </c>
    </row>
    <row r="15" spans="1:4">
      <c r="A15" s="27" t="s">
        <v>112</v>
      </c>
      <c r="B15" s="29">
        <v>46321</v>
      </c>
      <c r="C15" s="27" t="s">
        <v>163</v>
      </c>
      <c r="D15" t="str">
        <f>_xlfn.IFNA(VLOOKUP(A15,EST!A:N,14,FALSE),"")</f>
        <v>Christopher Rodas</v>
      </c>
    </row>
  </sheetData>
  <conditionalFormatting sqref="A2">
    <cfRule type="cellIs" dxfId="4" priority="7" operator="equal">
      <formula>"OFF"</formula>
    </cfRule>
  </conditionalFormatting>
  <conditionalFormatting sqref="A4">
    <cfRule type="cellIs" dxfId="3" priority="6" operator="equal">
      <formula>"OFF"</formula>
    </cfRule>
  </conditionalFormatting>
  <conditionalFormatting sqref="A6:A7">
    <cfRule type="cellIs" dxfId="2" priority="4" operator="equal">
      <formula>"OFF"</formula>
    </cfRule>
  </conditionalFormatting>
  <conditionalFormatting sqref="A11:A12">
    <cfRule type="cellIs" dxfId="1" priority="2" operator="equal">
      <formula>"OFF"</formula>
    </cfRule>
  </conditionalFormatting>
  <conditionalFormatting sqref="A14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tabSelected="1" workbookViewId="0"/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2026-10-26T13:26:08Z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