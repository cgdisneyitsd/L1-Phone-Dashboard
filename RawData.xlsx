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10" documentId="11_94451ABCA0A2D337C40D543FD3FF15B293680652" xr6:coauthVersionLast="47" xr6:coauthVersionMax="47" xr10:uidLastSave="{8D5838FA-3F87-435B-8EF7-902D90B26110}"/>
  <bookViews>
    <workbookView xWindow="-108" yWindow="-108" windowWidth="23256" windowHeight="13896" firstSheet="5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7" i="3" l="1"/>
  <c r="D18" i="3"/>
  <c r="D15" i="3"/>
  <c r="D49" i="2"/>
  <c r="D50" i="2"/>
  <c r="D53" i="2"/>
  <c r="D54" i="2"/>
  <c r="D55" i="2"/>
  <c r="D56" i="2"/>
  <c r="D58" i="2"/>
  <c r="D59" i="2"/>
  <c r="D62" i="2"/>
  <c r="D63" i="2"/>
  <c r="D64" i="2"/>
  <c r="D46" i="2"/>
  <c r="D47" i="2"/>
  <c r="D39" i="2"/>
  <c r="D40" i="2"/>
  <c r="D41" i="2"/>
  <c r="D29" i="2"/>
  <c r="D24" i="2"/>
  <c r="D25" i="2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P2" i="1"/>
  <c r="B2" i="4"/>
  <c r="B12" i="7"/>
  <c r="G41" i="7"/>
  <c r="G38" i="7"/>
  <c r="G56" i="7"/>
  <c r="G47" i="7"/>
  <c r="B43" i="7"/>
  <c r="I43" i="7"/>
  <c r="E44" i="7"/>
  <c r="F25" i="7"/>
  <c r="G12" i="7"/>
  <c r="F38" i="7"/>
  <c r="E38" i="7"/>
  <c r="B29" i="7"/>
  <c r="D44" i="7"/>
  <c r="F63" i="7"/>
  <c r="I63" i="7"/>
  <c r="D63" i="7"/>
  <c r="E63" i="7"/>
  <c r="B63" i="7"/>
  <c r="E62" i="7"/>
  <c r="F62" i="7"/>
  <c r="B62" i="7"/>
  <c r="I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/>
  <c r="D59" i="7"/>
  <c r="E59" i="7"/>
  <c r="G59" i="7"/>
  <c r="B59" i="7"/>
  <c r="F59" i="7"/>
  <c r="F45" i="7"/>
  <c r="D45" i="7"/>
  <c r="E45" i="7"/>
  <c r="B31" i="7"/>
  <c r="I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/>
  <c r="F29" i="7"/>
  <c r="G15" i="7"/>
  <c r="I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/>
  <c r="E16" i="7"/>
  <c r="I16" i="7"/>
  <c r="I46" i="7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/>
  <c r="P4" i="1"/>
  <c r="D4" i="4"/>
  <c r="P5" i="1"/>
  <c r="D5" i="4"/>
  <c r="P6" i="1"/>
  <c r="F6" i="4"/>
  <c r="P7" i="1"/>
  <c r="G7" i="4"/>
  <c r="P8" i="1"/>
  <c r="H8" i="4"/>
  <c r="P9" i="1"/>
  <c r="B9" i="4"/>
  <c r="P10" i="1"/>
  <c r="B10" i="4"/>
  <c r="P11" i="1"/>
  <c r="B11" i="4"/>
  <c r="P12" i="1"/>
  <c r="C12" i="4"/>
  <c r="P13" i="1"/>
  <c r="C13" i="4"/>
  <c r="P14" i="1"/>
  <c r="C14" i="4"/>
  <c r="P16" i="1"/>
  <c r="C16" i="4"/>
  <c r="P17" i="1"/>
  <c r="C17" i="4"/>
  <c r="P18" i="1"/>
  <c r="D18" i="4"/>
  <c r="P19" i="1"/>
  <c r="D19" i="4"/>
  <c r="P20" i="1"/>
  <c r="E20" i="4"/>
  <c r="P21" i="1"/>
  <c r="G21" i="4"/>
  <c r="P22" i="1"/>
  <c r="H22" i="4"/>
  <c r="P23" i="1"/>
  <c r="B23" i="4"/>
  <c r="P24" i="1"/>
  <c r="B24" i="4"/>
  <c r="P25" i="1"/>
  <c r="B25" i="4"/>
  <c r="P26" i="1"/>
  <c r="C26" i="4"/>
  <c r="P27" i="1"/>
  <c r="C27" i="4"/>
  <c r="P28" i="1"/>
  <c r="C28" i="4"/>
  <c r="P29" i="1"/>
  <c r="C29" i="4"/>
  <c r="P30" i="1"/>
  <c r="C30" i="4"/>
  <c r="P31" i="1"/>
  <c r="C31" i="4"/>
  <c r="P32" i="1"/>
  <c r="D32" i="4"/>
  <c r="P33" i="1"/>
  <c r="D33" i="4"/>
  <c r="P34" i="1"/>
  <c r="E34" i="4"/>
  <c r="P35" i="1"/>
  <c r="G35" i="4"/>
  <c r="P36" i="1"/>
  <c r="H36" i="4"/>
  <c r="P37" i="1"/>
  <c r="B37" i="4"/>
  <c r="P38" i="1"/>
  <c r="B38" i="4"/>
  <c r="P39" i="1"/>
  <c r="B39" i="4"/>
  <c r="P40" i="1"/>
  <c r="C40" i="4"/>
  <c r="P41" i="1"/>
  <c r="C41" i="4"/>
  <c r="P42" i="1"/>
  <c r="C42" i="4"/>
  <c r="P43" i="1"/>
  <c r="C43" i="4"/>
  <c r="P44" i="1"/>
  <c r="C44" i="4"/>
  <c r="P45" i="1"/>
  <c r="C45" i="4"/>
  <c r="P46" i="1"/>
  <c r="D46" i="4"/>
  <c r="P47" i="1"/>
  <c r="D47" i="4"/>
  <c r="P48" i="1"/>
  <c r="E48" i="4"/>
  <c r="P49" i="1"/>
  <c r="G49" i="4"/>
  <c r="P50" i="1"/>
  <c r="H50" i="4"/>
  <c r="P51" i="1"/>
  <c r="B51" i="4"/>
  <c r="P52" i="1"/>
  <c r="B52" i="4"/>
  <c r="P53" i="1"/>
  <c r="B53" i="4"/>
  <c r="P54" i="1"/>
  <c r="C54" i="4"/>
  <c r="P55" i="1"/>
  <c r="C55" i="4"/>
  <c r="P56" i="1"/>
  <c r="C56" i="4"/>
  <c r="P57" i="1"/>
  <c r="C57" i="4"/>
  <c r="P58" i="1"/>
  <c r="C58" i="4"/>
  <c r="P59" i="1"/>
  <c r="C59" i="4"/>
  <c r="P60" i="1"/>
  <c r="D60" i="4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<sst xmlns="http://schemas.openxmlformats.org/spreadsheetml/2006/main" count="1855" uniqueCount="168">
  <si>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</si>
  <si>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</si>
  <si>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</si>
  <si>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</si>
  <si>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</si>
  <si>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</si>
  <si>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</si>
  <si>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</si>
  <si>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</si>
  <si>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</si>
  <si>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</si>
  <si>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</si>
  <si>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</si>
  <si>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</si>
  <si>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</si>
  <si>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</si>
  <si>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</si>
  <si>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</si>
  <si>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</si>
  <si>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</si>
  <si>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</si>
  <si>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</si>
  <si>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</si>
  <si>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</si>
  <si>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</si>
  <si>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</si>
  <si>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</si>
  <si>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</si>
  <si>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</si>
  <si>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</si>
  <si>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</si>
  <si>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</si>
  <si>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</si>
  <si>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</si>
  <si>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</si>
  <si>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</si>
  <si>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</si>
  <si>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</si>
  <si>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</si>
  <si>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</si>
  <si>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</si>
  <si>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</si>
  <si>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</si>
  <si>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</si>
  <si>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</si>
  <si>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</si>
  <si>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</si>
  <si>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</si>
  <si>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</si>
  <si>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</si>
  <si>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</si>
  <si>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</si>
  <si>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</si>
  <si>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</si>
  <si>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</si>
  <si>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</si>
  <si>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</si>
  <si>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</si>
  <si>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</si>
  <si>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</si>
  <si>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</si>
  <si>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</si>
  <si>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</si>
  <si>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</si>
  <si>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</si>
  <si>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</si>
  <si>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</si>
  <si>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</si>
  <si>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</si>
  <si>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</si>
  <si>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</si>
  <si>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</si>
  <si>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</si>
  <si>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</si>
  <si>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</si>
  <si>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</si>
  <si>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</si>
  <si>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</si>
  <si>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</si>
  <si>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</si>
  <si>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</si>
  <si>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</si>
  <si>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</si>
  <si>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</si>
  <si>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</si>
  <si>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</si>
  <si>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</si>
  <si>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</si>
  <si>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</si>
  <si>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</si>
  <si>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</si>
  <si>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</si>
  <si>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</si>
  <si>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</si>
  <si>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</si>
  <si>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</si>
  <si>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</si>
  <si>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</si>
  <si>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</si>
  <si>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</si>
  <si>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</si>
  <si>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</si>
  <si>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</si>
  <si>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</si>
  <si>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</si>
  <si>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</si>
  <si>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</si>
  <si>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</si>
  <si>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</si>
  <si>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</si>
  <si>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</si>
  <si>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</si>
  <si>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</si>
  <si>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</si>
  <si>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</si>
  <si>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</si>
  <si>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</si>
  <si>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</si>
  <si>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</si>
  <si>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</si>
  <si>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</si>
  <si>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</si>
  <si>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</si>
  <si>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</si>
  <si>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</si>
  <si>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</si>
  <si>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</si>
  <si>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</si>
  <si>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</si>
  <si>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</si>
  <si>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</si>
  <si>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</si>
  <si>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</si>
  <si>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</si>
  <si>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</si>
  <si>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</si>
  <si>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</si>
  <si>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</si>
  <si>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</si>
  <si>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</si>
  <si>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</si>
  <si>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</si>
  <si>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</si>
  <si>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</si>
  <si>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</si>
  <si>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</si>
  <si>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</si>
  <si>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Eljohn Mar Cabalida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</si>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</sst>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7" fillId="7" borderId="0" xfId="0" applyFont="1" applyFill="1"/>
    <xf numFmtId="0" fontId="6" fillId="5" borderId="17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</cellXfs>
  <cellStyles count="1">
    <cellStyle name="Normal" xfId="0" builtinId="0"/>
  </cellStyles>
  <dxfs count="1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9" headerRowBorderDxfId="8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7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tabSelected="1" zoomScaleNormal="100" workbookViewId="0">
      <pane ySplit="1" topLeftCell="A14" activePane="bottomLeft" state="frozen"/>
      <selection pane="bottomLeft" activeCell="A21" sqref="A21"/>
    </sheetView>
  </sheetViews>
  <sheetFormatPr defaultRowHeight="15"/>
  <cols>
    <col min="1" max="1" width="27.710937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4" customFormat="1">
      <c r="A7" s="29" t="s">
        <v>34</v>
      </c>
      <c r="B7" s="30" t="s">
        <v>35</v>
      </c>
      <c r="C7" s="30" t="s">
        <v>35</v>
      </c>
      <c r="D7" s="30" t="s">
        <v>17</v>
      </c>
      <c r="E7" s="30" t="s">
        <v>17</v>
      </c>
      <c r="F7" s="30" t="s">
        <v>35</v>
      </c>
      <c r="G7" s="30" t="s">
        <v>35</v>
      </c>
      <c r="H7" s="30" t="s">
        <v>17</v>
      </c>
      <c r="I7" s="31" t="s">
        <v>36</v>
      </c>
      <c r="J7" s="32">
        <v>0.45833333333333331</v>
      </c>
      <c r="K7" s="32">
        <v>0.55208333333333337</v>
      </c>
      <c r="L7" s="32">
        <v>0.6875</v>
      </c>
      <c r="M7" s="32">
        <v>0.78125</v>
      </c>
      <c r="N7" s="33" t="s">
        <v>37</v>
      </c>
      <c r="O7" s="30" t="s">
        <v>35</v>
      </c>
      <c r="P7">
        <f t="shared" si="0"/>
        <v>0</v>
      </c>
    </row>
    <row r="8" spans="1:16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>
      <c r="A14" s="39" t="s">
        <v>50</v>
      </c>
      <c r="B14" s="44" t="s">
        <v>17</v>
      </c>
      <c r="C14" s="44" t="s">
        <v>17</v>
      </c>
      <c r="D14" s="44" t="s">
        <v>17</v>
      </c>
      <c r="E14" s="46" t="s">
        <v>51</v>
      </c>
      <c r="F14" s="46" t="s">
        <v>51</v>
      </c>
      <c r="G14" s="46" t="s">
        <v>51</v>
      </c>
      <c r="H14" s="46" t="s">
        <v>51</v>
      </c>
      <c r="I14" s="47" t="s">
        <v>32</v>
      </c>
      <c r="J14" s="49">
        <v>0.875</v>
      </c>
      <c r="K14" s="49">
        <v>0.95833333333333337</v>
      </c>
      <c r="L14" s="49">
        <v>6.25E-2</v>
      </c>
      <c r="M14" s="49">
        <v>0.1875</v>
      </c>
      <c r="N14" s="51" t="s">
        <v>26</v>
      </c>
      <c r="O14" s="46" t="s">
        <v>51</v>
      </c>
      <c r="P14">
        <f t="shared" si="0"/>
        <v>1</v>
      </c>
    </row>
    <row r="15" spans="1:16">
      <c r="A15" s="42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>
      <c r="A33" s="41" t="s">
        <v>82</v>
      </c>
      <c r="B33" s="44" t="s">
        <v>17</v>
      </c>
      <c r="C33" s="44" t="s">
        <v>17</v>
      </c>
      <c r="D33" s="46" t="s">
        <v>83</v>
      </c>
      <c r="E33" s="46" t="s">
        <v>83</v>
      </c>
      <c r="F33" s="46" t="s">
        <v>83</v>
      </c>
      <c r="G33" s="46" t="s">
        <v>83</v>
      </c>
      <c r="H33" s="44" t="s">
        <v>17</v>
      </c>
      <c r="I33" s="47" t="s">
        <v>84</v>
      </c>
      <c r="J33" s="49">
        <v>0.34375</v>
      </c>
      <c r="K33" s="49">
        <v>0.16666666666666666</v>
      </c>
      <c r="L33" s="49">
        <v>0.22916666666666666</v>
      </c>
      <c r="M33" s="49">
        <v>0.42708333333333331</v>
      </c>
      <c r="N33" s="51" t="s">
        <v>26</v>
      </c>
      <c r="O33" s="46" t="s">
        <v>83</v>
      </c>
      <c r="P33">
        <f t="shared" si="0"/>
        <v>0</v>
      </c>
    </row>
    <row r="34" spans="1:16" s="34" customFormat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>
      <c r="A37" s="29" t="s">
        <v>90</v>
      </c>
      <c r="B37" s="30" t="s">
        <v>17</v>
      </c>
      <c r="C37" s="35" t="s">
        <v>64</v>
      </c>
      <c r="D37" s="35" t="s">
        <v>64</v>
      </c>
      <c r="E37" s="35" t="s">
        <v>64</v>
      </c>
      <c r="F37" s="35" t="s">
        <v>64</v>
      </c>
      <c r="G37" s="30" t="s">
        <v>17</v>
      </c>
      <c r="H37" s="30" t="s">
        <v>17</v>
      </c>
      <c r="I37" s="31" t="s">
        <v>48</v>
      </c>
      <c r="J37" s="32">
        <v>0.34375</v>
      </c>
      <c r="K37" s="32">
        <v>0.53125</v>
      </c>
      <c r="L37" s="32">
        <v>0.41666666666666669</v>
      </c>
      <c r="M37" s="32">
        <v>0.625</v>
      </c>
      <c r="N37" s="33" t="s">
        <v>41</v>
      </c>
      <c r="O37" s="35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0" t="s">
        <v>126</v>
      </c>
      <c r="B61" s="45" t="s">
        <v>35</v>
      </c>
      <c r="C61" s="45" t="s">
        <v>35</v>
      </c>
      <c r="D61" s="45" t="s">
        <v>35</v>
      </c>
      <c r="E61" s="45" t="s">
        <v>17</v>
      </c>
      <c r="F61" s="45" t="s">
        <v>35</v>
      </c>
      <c r="G61" s="45" t="s">
        <v>17</v>
      </c>
      <c r="H61" s="45" t="s">
        <v>17</v>
      </c>
      <c r="I61" s="45" t="s">
        <v>25</v>
      </c>
      <c r="J61" s="50">
        <v>0.48958333333333331</v>
      </c>
      <c r="K61" s="50">
        <v>0.72916666666666663</v>
      </c>
      <c r="L61" s="50">
        <v>0.60416666666666663</v>
      </c>
      <c r="M61" s="50">
        <v>0.8125</v>
      </c>
      <c r="N61" s="52" t="s">
        <v>37</v>
      </c>
      <c r="O61" s="45" t="s">
        <v>35</v>
      </c>
      <c r="P61">
        <f t="shared" ref="P61" si="2">IF(O61="OFF",0,
IF(VALUE(LEFT(O61,2))&lt;12,0,1))</f>
        <v>0</v>
      </c>
    </row>
    <row r="62" spans="1:16">
      <c r="A62" s="40" t="s">
        <v>127</v>
      </c>
      <c r="B62" s="45" t="s">
        <v>123</v>
      </c>
      <c r="C62" s="45" t="s">
        <v>123</v>
      </c>
      <c r="D62" s="45" t="s">
        <v>123</v>
      </c>
      <c r="E62" s="45" t="s">
        <v>123</v>
      </c>
      <c r="F62" s="45" t="s">
        <v>17</v>
      </c>
      <c r="G62" s="45" t="s">
        <v>17</v>
      </c>
      <c r="H62" s="45" t="s">
        <v>17</v>
      </c>
      <c r="I62" s="45" t="s">
        <v>29</v>
      </c>
      <c r="J62" s="50">
        <v>0.375</v>
      </c>
      <c r="K62" s="50">
        <v>0.47916666666666669</v>
      </c>
      <c r="L62" s="50">
        <v>0.58333333333333337</v>
      </c>
      <c r="M62" s="50">
        <v>0.67708333333333337</v>
      </c>
      <c r="N62" s="52" t="s">
        <v>26</v>
      </c>
      <c r="O62" s="45" t="s">
        <v>123</v>
      </c>
    </row>
    <row r="63" spans="1:16">
      <c r="A63" s="40" t="s">
        <v>128</v>
      </c>
      <c r="B63" s="45" t="s">
        <v>24</v>
      </c>
      <c r="C63" s="45" t="s">
        <v>17</v>
      </c>
      <c r="D63" s="45" t="s">
        <v>24</v>
      </c>
      <c r="E63" s="45" t="s">
        <v>24</v>
      </c>
      <c r="F63" s="45" t="s">
        <v>24</v>
      </c>
      <c r="G63" s="45" t="s">
        <v>17</v>
      </c>
      <c r="H63" s="45" t="s">
        <v>17</v>
      </c>
      <c r="I63" s="45" t="s">
        <v>43</v>
      </c>
      <c r="J63" s="50">
        <v>0.42708333333333331</v>
      </c>
      <c r="K63" s="50">
        <v>0.64583333333333337</v>
      </c>
      <c r="L63" s="50">
        <v>0.51041666666666663</v>
      </c>
      <c r="M63" s="50">
        <v>0.76041666666666663</v>
      </c>
      <c r="N63" s="52" t="s">
        <v>37</v>
      </c>
      <c r="O63" s="45" t="s">
        <v>24</v>
      </c>
    </row>
    <row r="64" spans="1:16">
      <c r="A64" s="39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>
      <c r="A65" s="43" t="s">
        <v>130</v>
      </c>
      <c r="B65" s="39"/>
      <c r="C65" s="39"/>
      <c r="D65" s="39"/>
      <c r="E65" s="39"/>
      <c r="F65" s="39"/>
      <c r="G65" s="39"/>
      <c r="H65" s="39"/>
      <c r="I65" s="48"/>
      <c r="J65" s="39"/>
      <c r="K65" s="39"/>
      <c r="L65" s="39"/>
      <c r="M65" s="39"/>
      <c r="N65" s="39"/>
      <c r="O65" s="39"/>
    </row>
    <row r="66" spans="1:15">
      <c r="A66" s="38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5" priority="3" operator="equal">
      <formula>"OFF"</formula>
    </cfRule>
  </conditionalFormatting>
  <conditionalFormatting sqref="I56:I57">
    <cfRule type="cellIs" dxfId="14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F95" sqref="F95:F106"/>
    </sheetView>
  </sheetViews>
  <sheetFormatPr defaultColWidth="9.140625" defaultRowHeight="1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9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7" t="s">
        <v>132</v>
      </c>
      <c r="P1" s="37" t="s">
        <v>133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6">
        <f>MOD(EST!J2+TIME(12,0,0),1)</f>
        <v>0.625</v>
      </c>
      <c r="K2" s="36">
        <f>MOD(EST!K2+TIME(12,0,0),1)</f>
        <v>0.85416666666666674</v>
      </c>
      <c r="L2" s="36">
        <f>MOD(EST!L2+TIME(12,0,0),1)</f>
        <v>0.76041666666666674</v>
      </c>
      <c r="M2" s="36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6">
        <f>MOD(EST!J3+TIME(12,0,0),1)</f>
        <v>0.11458333333333348</v>
      </c>
      <c r="K3" s="36">
        <f>MOD(EST!K3+TIME(12,0,0),1)</f>
        <v>0.3125</v>
      </c>
      <c r="L3" s="36">
        <f>MOD(EST!L3+TIME(12,0,0),1)</f>
        <v>0.1875</v>
      </c>
      <c r="M3" s="36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6">
        <f>MOD(EST!J4+TIME(12,0,0),1)</f>
        <v>0.89583333333333326</v>
      </c>
      <c r="K4" s="36">
        <f>MOD(EST!K4+TIME(12,0,0),1)</f>
        <v>0.10416666666666652</v>
      </c>
      <c r="L4" s="36">
        <f>MOD(EST!L4+TIME(12,0,0),1)</f>
        <v>0.97916666666666674</v>
      </c>
      <c r="M4" s="36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6">
        <f>MOD(EST!J5+TIME(12,0,0),1)</f>
        <v>0.88541666666666674</v>
      </c>
      <c r="K5" s="36">
        <f>MOD(EST!K5+TIME(12,0,0),1)</f>
        <v>0.11458333333333348</v>
      </c>
      <c r="L5" s="36">
        <f>MOD(EST!L5+TIME(12,0,0),1)</f>
        <v>0.96875</v>
      </c>
      <c r="M5" s="36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6">
        <f>MOD(EST!J6+TIME(12,0,0),1)</f>
        <v>0.42708333333333348</v>
      </c>
      <c r="K6" s="36">
        <f>MOD(EST!K6+TIME(12,0,0),1)</f>
        <v>0.51041666666666663</v>
      </c>
      <c r="L6" s="36">
        <f>MOD(EST!L6+TIME(12,0,0),1)</f>
        <v>0.6875</v>
      </c>
      <c r="M6" s="36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6">
        <f>MOD(EST!J7+TIME(12,0,0),1)</f>
        <v>0.95833333333333326</v>
      </c>
      <c r="K7" s="36">
        <f>MOD(EST!K7+TIME(12,0,0),1)</f>
        <v>5.2083333333333481E-2</v>
      </c>
      <c r="L7" s="36">
        <f>MOD(EST!L7+TIME(12,0,0),1)</f>
        <v>0.1875</v>
      </c>
      <c r="M7" s="36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6">
        <f>MOD(EST!J8+TIME(12,0,0),1)</f>
        <v>0.97916666666666674</v>
      </c>
      <c r="K8" s="36">
        <f>MOD(EST!K8+TIME(12,0,0),1)</f>
        <v>0.125</v>
      </c>
      <c r="L8" s="36">
        <f>MOD(EST!L8+TIME(12,0,0),1)</f>
        <v>5.2083333333333481E-2</v>
      </c>
      <c r="M8" s="36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6">
        <f>MOD(EST!J9+TIME(12,0,0),1)</f>
        <v>8.3333333333333481E-2</v>
      </c>
      <c r="K9" s="36">
        <f>MOD(EST!K9+TIME(12,0,0),1)</f>
        <v>0.17708333333333348</v>
      </c>
      <c r="L9" s="36">
        <f>MOD(EST!L9+TIME(12,0,0),1)</f>
        <v>0.95833333333333326</v>
      </c>
      <c r="M9" s="36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6">
        <f>MOD(EST!J10+TIME(12,0,0),1)</f>
        <v>0.96875</v>
      </c>
      <c r="K10" s="36">
        <f>MOD(EST!K10+TIME(12,0,0),1)</f>
        <v>6.25E-2</v>
      </c>
      <c r="L10" s="36">
        <f>MOD(EST!L10+TIME(12,0,0),1)</f>
        <v>0.25</v>
      </c>
      <c r="M10" s="36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6">
        <f>MOD(EST!J11+TIME(12,0,0),1)</f>
        <v>0.69791666666666663</v>
      </c>
      <c r="K11" s="36">
        <f>MOD(EST!K11+TIME(12,0,0),1)</f>
        <v>0.9375</v>
      </c>
      <c r="L11" s="36">
        <f>MOD(EST!L11+TIME(12,0,0),1)</f>
        <v>0.8125</v>
      </c>
      <c r="M11" s="36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6">
        <f>MOD(EST!J12+TIME(12,0,0),1)</f>
        <v>0.95833333333333326</v>
      </c>
      <c r="K12" s="36">
        <f>MOD(EST!K12+TIME(12,0,0),1)</f>
        <v>4.1666666666666519E-2</v>
      </c>
      <c r="L12" s="36">
        <f>MOD(EST!L12+TIME(12,0,0),1)</f>
        <v>0.14583333333333348</v>
      </c>
      <c r="M12" s="36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6">
        <f>MOD(EST!J13+TIME(12,0,0),1)</f>
        <v>0.89583333333333326</v>
      </c>
      <c r="K13" s="36">
        <f>MOD(EST!K13+TIME(12,0,0),1)</f>
        <v>0.10416666666666652</v>
      </c>
      <c r="L13" s="36">
        <f>MOD(EST!L13+TIME(12,0,0),1)</f>
        <v>0.97916666666666674</v>
      </c>
      <c r="M13" s="36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6">
        <f>MOD(EST!J14+TIME(12,0,0),1)</f>
        <v>0.375</v>
      </c>
      <c r="K14" s="36">
        <f>MOD(EST!K14+TIME(12,0,0),1)</f>
        <v>0.45833333333333348</v>
      </c>
      <c r="L14" s="36">
        <f>MOD(EST!L14+TIME(12,0,0),1)</f>
        <v>0.5625</v>
      </c>
      <c r="M14" s="36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6">
        <f>MOD(EST!J15+TIME(12,0,0),1)</f>
        <v>0.73958333333333337</v>
      </c>
      <c r="K15" s="36">
        <f>MOD(EST!K15+TIME(12,0,0),1)</f>
        <v>2.0833333333333481E-2</v>
      </c>
      <c r="L15" s="36">
        <f>MOD(EST!L15+TIME(12,0,0),1)</f>
        <v>0.85416666666666674</v>
      </c>
      <c r="M15" s="36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6">
        <f>MOD(EST!J16+TIME(12,0,0),1)</f>
        <v>0.9375</v>
      </c>
      <c r="K16" s="36">
        <f>MOD(EST!K16+TIME(12,0,0),1)</f>
        <v>0.14583333333333348</v>
      </c>
      <c r="L16" s="36">
        <f>MOD(EST!L16+TIME(12,0,0),1)</f>
        <v>2.0833333333333481E-2</v>
      </c>
      <c r="M16" s="36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6">
        <f>MOD(EST!J17+TIME(12,0,0),1)</f>
        <v>4.1666666666666519E-2</v>
      </c>
      <c r="K17" s="36">
        <f>MOD(EST!K17+TIME(12,0,0),1)</f>
        <v>0.13541666666666652</v>
      </c>
      <c r="L17" s="36">
        <f>MOD(EST!L17+TIME(12,0,0),1)</f>
        <v>0.22916666666666652</v>
      </c>
      <c r="M17" s="36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6">
        <f>MOD(EST!J18+TIME(12,0,0),1)</f>
        <v>0.95833333333333326</v>
      </c>
      <c r="K18" s="36">
        <f>MOD(EST!K18+TIME(12,0,0),1)</f>
        <v>7.2916666666666519E-2</v>
      </c>
      <c r="L18" s="36">
        <f>MOD(EST!L18+TIME(12,0,0),1)</f>
        <v>0.14583333333333348</v>
      </c>
      <c r="M18" s="36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6">
        <f>MOD(EST!J19+TIME(12,0,0),1)</f>
        <v>0.98958333333333326</v>
      </c>
      <c r="K19" s="36">
        <f>MOD(EST!K19+TIME(12,0,0),1)</f>
        <v>7.2916666666666519E-2</v>
      </c>
      <c r="L19" s="36">
        <f>MOD(EST!L19+TIME(12,0,0),1)</f>
        <v>0.16666666666666652</v>
      </c>
      <c r="M19" s="36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Eljhon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6">
        <f>MOD(EST!J20+TIME(12,0,0),1)</f>
        <v>0.9375</v>
      </c>
      <c r="K20" s="36">
        <f>MOD(EST!K20+TIME(12,0,0),1)</f>
        <v>0.15625</v>
      </c>
      <c r="L20" s="36">
        <f>MOD(EST!L20+TIME(12,0,0),1)</f>
        <v>3.125E-2</v>
      </c>
      <c r="M20" s="36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6">
        <f>MOD(EST!J21+TIME(12,0,0),1)</f>
        <v>0.39583333333333348</v>
      </c>
      <c r="K21" s="36">
        <f>MOD(EST!K21+TIME(12,0,0),1)</f>
        <v>0.60416666666666663</v>
      </c>
      <c r="L21" s="36">
        <f>MOD(EST!L21+TIME(12,0,0),1)</f>
        <v>0.47916666666666652</v>
      </c>
      <c r="M21" s="36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6">
        <f>MOD(EST!J22+TIME(12,0,0),1)</f>
        <v>0.84375</v>
      </c>
      <c r="K22" s="36">
        <f>MOD(EST!K22+TIME(12,0,0),1)</f>
        <v>6.25E-2</v>
      </c>
      <c r="L22" s="36">
        <f>MOD(EST!L22+TIME(12,0,0),1)</f>
        <v>0.9375</v>
      </c>
      <c r="M22" s="36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6">
        <f>MOD(EST!J23+TIME(12,0,0),1)</f>
        <v>0.80208333333333326</v>
      </c>
      <c r="K23" s="36">
        <f>MOD(EST!K23+TIME(12,0,0),1)</f>
        <v>4.1666666666666519E-2</v>
      </c>
      <c r="L23" s="36">
        <f>MOD(EST!L23+TIME(12,0,0),1)</f>
        <v>0.91666666666666674</v>
      </c>
      <c r="M23" s="36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6">
        <f>MOD(EST!J24+TIME(12,0,0),1)</f>
        <v>1.0416666666666519E-2</v>
      </c>
      <c r="K24" s="36">
        <f>MOD(EST!K24+TIME(12,0,0),1)</f>
        <v>9.375E-2</v>
      </c>
      <c r="L24" s="36">
        <f>MOD(EST!L24+TIME(12,0,0),1)</f>
        <v>0.1875</v>
      </c>
      <c r="M24" s="36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6">
        <f>MOD(EST!J25+TIME(12,0,0),1)</f>
        <v>0.92708333333333326</v>
      </c>
      <c r="K25" s="36">
        <f>MOD(EST!K25+TIME(12,0,0),1)</f>
        <v>0.15625</v>
      </c>
      <c r="L25" s="36">
        <f>MOD(EST!L25+TIME(12,0,0),1)</f>
        <v>3.125E-2</v>
      </c>
      <c r="M25" s="36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6">
        <f>MOD(EST!J26+TIME(12,0,0),1)</f>
        <v>4.1666666666666519E-2</v>
      </c>
      <c r="K26" s="36">
        <f>MOD(EST!K26+TIME(12,0,0),1)</f>
        <v>0.26041666666666652</v>
      </c>
      <c r="L26" s="36">
        <f>MOD(EST!L26+TIME(12,0,0),1)</f>
        <v>0.13541666666666652</v>
      </c>
      <c r="M26" s="36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6">
        <f>MOD(EST!J27+TIME(12,0,0),1)</f>
        <v>0.65625</v>
      </c>
      <c r="K27" s="36">
        <f>MOD(EST!K27+TIME(12,0,0),1)</f>
        <v>0.875</v>
      </c>
      <c r="L27" s="36">
        <f>MOD(EST!L27+TIME(12,0,0),1)</f>
        <v>0.75</v>
      </c>
      <c r="M27" s="36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6">
        <f>MOD(EST!J28+TIME(12,0,0),1)</f>
        <v>0.66666666666666663</v>
      </c>
      <c r="K28" s="36">
        <f>MOD(EST!K28+TIME(12,0,0),1)</f>
        <v>0.76041666666666674</v>
      </c>
      <c r="L28" s="36">
        <f>MOD(EST!L28+TIME(12,0,0),1)</f>
        <v>0.54166666666666663</v>
      </c>
      <c r="M28" s="36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6">
        <f>MOD(EST!J29+TIME(12,0,0),1)</f>
        <v>0.91666666666666674</v>
      </c>
      <c r="K29" s="36">
        <f>MOD(EST!K29+TIME(12,0,0),1)</f>
        <v>0.14583333333333348</v>
      </c>
      <c r="L29" s="36">
        <f>MOD(EST!L29+TIME(12,0,0),1)</f>
        <v>0</v>
      </c>
      <c r="M29" s="36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6">
        <f>MOD(EST!J30+TIME(12,0,0),1)</f>
        <v>8.3333333333333481E-2</v>
      </c>
      <c r="K30" s="36">
        <f>MOD(EST!K30+TIME(12,0,0),1)</f>
        <v>0.3125</v>
      </c>
      <c r="L30" s="36">
        <f>MOD(EST!L30+TIME(12,0,0),1)</f>
        <v>0.17708333333333348</v>
      </c>
      <c r="M30" s="36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6">
        <f>MOD(EST!J31+TIME(12,0,0),1)</f>
        <v>0.80208333333333326</v>
      </c>
      <c r="K31" s="36">
        <f>MOD(EST!K31+TIME(12,0,0),1)</f>
        <v>0.96875</v>
      </c>
      <c r="L31" s="36">
        <f>MOD(EST!L31+TIME(12,0,0),1)</f>
        <v>0.88541666666666674</v>
      </c>
      <c r="M31" s="36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6">
        <f>MOD(EST!J32+TIME(12,0,0),1)</f>
        <v>0.45833333333333348</v>
      </c>
      <c r="K32" s="36">
        <f>MOD(EST!K32+TIME(12,0,0),1)</f>
        <v>0.5625</v>
      </c>
      <c r="L32" s="36">
        <f>MOD(EST!L32+TIME(12,0,0),1)</f>
        <v>0.66666666666666663</v>
      </c>
      <c r="M32" s="36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6">
        <f>MOD(EST!J33+TIME(12,0,0),1)</f>
        <v>0.84375</v>
      </c>
      <c r="K33" s="36">
        <f>MOD(EST!K33+TIME(12,0,0),1)</f>
        <v>0.66666666666666663</v>
      </c>
      <c r="L33" s="36">
        <f>MOD(EST!L33+TIME(12,0,0),1)</f>
        <v>0.72916666666666663</v>
      </c>
      <c r="M33" s="36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6">
        <f>MOD(EST!J34+TIME(12,0,0),1)</f>
        <v>0.83333333333333326</v>
      </c>
      <c r="K34" s="36">
        <f>MOD(EST!K34+TIME(12,0,0),1)</f>
        <v>5.2083333333333481E-2</v>
      </c>
      <c r="L34" s="36">
        <f>MOD(EST!L34+TIME(12,0,0),1)</f>
        <v>0.92708333333333326</v>
      </c>
      <c r="M34" s="36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6">
        <f>MOD(EST!J35+TIME(12,0,0),1)</f>
        <v>0.625</v>
      </c>
      <c r="K35" s="36">
        <f>MOD(EST!K35+TIME(12,0,0),1)</f>
        <v>0.71875</v>
      </c>
      <c r="L35" s="36">
        <f>MOD(EST!L35+TIME(12,0,0),1)</f>
        <v>0.5</v>
      </c>
      <c r="M35" s="36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6">
        <f>MOD(EST!J36+TIME(12,0,0),1)</f>
        <v>0.125</v>
      </c>
      <c r="K36" s="36">
        <f>MOD(EST!K36+TIME(12,0,0),1)</f>
        <v>0.375</v>
      </c>
      <c r="L36" s="36">
        <f>MOD(EST!L36+TIME(12,0,0),1)</f>
        <v>0.25</v>
      </c>
      <c r="M36" s="36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6">
        <f>MOD(EST!J37+TIME(12,0,0),1)</f>
        <v>0.84375</v>
      </c>
      <c r="K37" s="36">
        <f>MOD(EST!K37+TIME(12,0,0),1)</f>
        <v>3.125E-2</v>
      </c>
      <c r="L37" s="36">
        <f>MOD(EST!L37+TIME(12,0,0),1)</f>
        <v>0.91666666666666674</v>
      </c>
      <c r="M37" s="36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6">
        <f>MOD(EST!J38+TIME(12,0,0),1)</f>
        <v>0.95833333333333326</v>
      </c>
      <c r="K38" s="36">
        <f>MOD(EST!K38+TIME(12,0,0),1)</f>
        <v>5.2083333333333481E-2</v>
      </c>
      <c r="L38" s="36">
        <f>MOD(EST!L38+TIME(12,0,0),1)</f>
        <v>0.125</v>
      </c>
      <c r="M38" s="36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6">
        <f>MOD(EST!J39+TIME(12,0,0),1)</f>
        <v>0.92708333333333326</v>
      </c>
      <c r="K39" s="36">
        <f>MOD(EST!K39+TIME(12,0,0),1)</f>
        <v>0.13541666666666652</v>
      </c>
      <c r="L39" s="36">
        <f>MOD(EST!L39+TIME(12,0,0),1)</f>
        <v>1.0416666666666519E-2</v>
      </c>
      <c r="M39" s="36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6">
        <f>MOD(EST!J40+TIME(12,0,0),1)</f>
        <v>0.55208333333333337</v>
      </c>
      <c r="K40" s="36">
        <f>MOD(EST!K40+TIME(12,0,0),1)</f>
        <v>0.77083333333333326</v>
      </c>
      <c r="L40" s="36">
        <f>MOD(EST!L40+TIME(12,0,0),1)</f>
        <v>0.625</v>
      </c>
      <c r="M40" s="36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6">
        <f>MOD(EST!J41+TIME(12,0,0),1)</f>
        <v>0.9375</v>
      </c>
      <c r="K41" s="36">
        <f>MOD(EST!K41+TIME(12,0,0),1)</f>
        <v>0.1875</v>
      </c>
      <c r="L41" s="36">
        <f>MOD(EST!L41+TIME(12,0,0),1)</f>
        <v>6.25E-2</v>
      </c>
      <c r="M41" s="36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6">
        <f>MOD(EST!J42+TIME(12,0,0),1)</f>
        <v>0.3125</v>
      </c>
      <c r="K42" s="36">
        <f>MOD(EST!K42+TIME(12,0,0),1)</f>
        <v>0.5</v>
      </c>
      <c r="L42" s="36">
        <f>MOD(EST!L42+TIME(12,0,0),1)</f>
        <v>0.40625</v>
      </c>
      <c r="M42" s="36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6">
        <f>MOD(EST!J43+TIME(12,0,0),1)</f>
        <v>0.91666666666666674</v>
      </c>
      <c r="K43" s="36">
        <f>MOD(EST!K43+TIME(12,0,0),1)</f>
        <v>0.125</v>
      </c>
      <c r="L43" s="36">
        <f>MOD(EST!L43+TIME(12,0,0),1)</f>
        <v>0</v>
      </c>
      <c r="M43" s="36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6">
        <f>MOD(EST!J44+TIME(12,0,0),1)</f>
        <v>0.98958333333333326</v>
      </c>
      <c r="K44" s="36">
        <f>MOD(EST!K44+TIME(12,0,0),1)</f>
        <v>0.19791666666666652</v>
      </c>
      <c r="L44" s="36">
        <f>MOD(EST!L44+TIME(12,0,0),1)</f>
        <v>7.2916666666666519E-2</v>
      </c>
      <c r="M44" s="36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6">
        <f>MOD(EST!J45+TIME(12,0,0),1)</f>
        <v>0.95833333333333326</v>
      </c>
      <c r="K45" s="36">
        <f>MOD(EST!K45+TIME(12,0,0),1)</f>
        <v>0.17708333333333348</v>
      </c>
      <c r="L45" s="36">
        <f>MOD(EST!L45+TIME(12,0,0),1)</f>
        <v>5.2083333333333481E-2</v>
      </c>
      <c r="M45" s="36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6">
        <f>MOD(EST!J46+TIME(12,0,0),1)</f>
        <v>0.35416666666666652</v>
      </c>
      <c r="K46" s="36">
        <f>MOD(EST!K46+TIME(12,0,0),1)</f>
        <v>0.57291666666666663</v>
      </c>
      <c r="L46" s="36">
        <f>MOD(EST!L46+TIME(12,0,0),1)</f>
        <v>0.44791666666666652</v>
      </c>
      <c r="M46" s="36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6">
        <f>MOD(EST!J47+TIME(12,0,0),1)</f>
        <v>0.97916666666666674</v>
      </c>
      <c r="K47" s="36">
        <f>MOD(EST!K47+TIME(12,0,0),1)</f>
        <v>0.17708333333333348</v>
      </c>
      <c r="L47" s="36">
        <f>MOD(EST!L47+TIME(12,0,0),1)</f>
        <v>7.2916666666666519E-2</v>
      </c>
      <c r="M47" s="36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6">
        <f>MOD(EST!J48+TIME(12,0,0),1)</f>
        <v>0.96875</v>
      </c>
      <c r="K48" s="36">
        <f>MOD(EST!K48+TIME(12,0,0),1)</f>
        <v>6.25E-2</v>
      </c>
      <c r="L48" s="36">
        <f>MOD(EST!L48+TIME(12,0,0),1)</f>
        <v>0.125</v>
      </c>
      <c r="M48" s="36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6">
        <f>MOD(EST!J49+TIME(12,0,0),1)</f>
        <v>0.79166666666666674</v>
      </c>
      <c r="K49" s="36">
        <f>MOD(EST!K49+TIME(12,0,0),1)</f>
        <v>1.0416666666666519E-2</v>
      </c>
      <c r="L49" s="36">
        <f>MOD(EST!L49+TIME(12,0,0),1)</f>
        <v>0.88541666666666674</v>
      </c>
      <c r="M49" s="36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6">
        <f>MOD(EST!J50+TIME(12,0,0),1)</f>
        <v>0.41666666666666652</v>
      </c>
      <c r="K50" s="36">
        <f>MOD(EST!K50+TIME(12,0,0),1)</f>
        <v>0.52083333333333337</v>
      </c>
      <c r="L50" s="36">
        <f>MOD(EST!L50+TIME(12,0,0),1)</f>
        <v>0.60416666666666663</v>
      </c>
      <c r="M50" s="36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6">
        <f>MOD(EST!J51+TIME(12,0,0),1)</f>
        <v>0.5</v>
      </c>
      <c r="K51" s="36">
        <f>MOD(EST!K51+TIME(12,0,0),1)</f>
        <v>0.69791666666666663</v>
      </c>
      <c r="L51" s="36">
        <f>MOD(EST!L51+TIME(12,0,0),1)</f>
        <v>0.59375</v>
      </c>
      <c r="M51" s="36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6">
        <f>MOD(EST!J52+TIME(12,0,0),1)</f>
        <v>0</v>
      </c>
      <c r="K52" s="36">
        <f>MOD(EST!K52+TIME(12,0,0),1)</f>
        <v>0.22916666666666652</v>
      </c>
      <c r="L52" s="36">
        <f>MOD(EST!L52+TIME(12,0,0),1)</f>
        <v>0.10416666666666652</v>
      </c>
      <c r="M52" s="36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6">
        <f>MOD(EST!J53+TIME(12,0,0),1)</f>
        <v>0.96875</v>
      </c>
      <c r="K53" s="36">
        <f>MOD(EST!K53+TIME(12,0,0),1)</f>
        <v>6.25E-2</v>
      </c>
      <c r="L53" s="36">
        <f>MOD(EST!L53+TIME(12,0,0),1)</f>
        <v>0.125</v>
      </c>
      <c r="M53" s="36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6">
        <f>MOD(EST!J54+TIME(12,0,0),1)</f>
        <v>0.94791666666666674</v>
      </c>
      <c r="K54" s="36">
        <f>MOD(EST!K54+TIME(12,0,0),1)</f>
        <v>0.15625</v>
      </c>
      <c r="L54" s="36">
        <f>MOD(EST!L54+TIME(12,0,0),1)</f>
        <v>2.0833333333333481E-2</v>
      </c>
      <c r="M54" s="36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6">
        <f>MOD(EST!J55+TIME(12,0,0),1)</f>
        <v>0.3125</v>
      </c>
      <c r="K55" s="36">
        <f>MOD(EST!K55+TIME(12,0,0),1)</f>
        <v>0.51041666666666663</v>
      </c>
      <c r="L55" s="36">
        <f>MOD(EST!L55+TIME(12,0,0),1)</f>
        <v>0.39583333333333348</v>
      </c>
      <c r="M55" s="36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6">
        <f>MOD(EST!J56+TIME(12,0,0),1)</f>
        <v>0.58333333333333337</v>
      </c>
      <c r="K56" s="36">
        <f>MOD(EST!K56+TIME(12,0,0),1)</f>
        <v>0.66666666666666663</v>
      </c>
      <c r="L56" s="36">
        <f>MOD(EST!L56+TIME(12,0,0),1)</f>
        <v>0.79166666666666674</v>
      </c>
      <c r="M56" s="36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6">
        <f>MOD(EST!J57+TIME(12,0,0),1)</f>
        <v>0.55208333333333337</v>
      </c>
      <c r="K57" s="36">
        <f>MOD(EST!K57+TIME(12,0,0),1)</f>
        <v>0.77083333333333326</v>
      </c>
      <c r="L57" s="36">
        <f>MOD(EST!L57+TIME(12,0,0),1)</f>
        <v>0.64583333333333337</v>
      </c>
      <c r="M57" s="36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6">
        <f>MOD(EST!J58+TIME(12,0,0),1)</f>
        <v>0.96875</v>
      </c>
      <c r="K58" s="36">
        <f>MOD(EST!K58+TIME(12,0,0),1)</f>
        <v>0.22916666666666652</v>
      </c>
      <c r="L58" s="36">
        <f>MOD(EST!L58+TIME(12,0,0),1)</f>
        <v>6.25E-2</v>
      </c>
      <c r="M58" s="36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6">
        <f>MOD(EST!J59+TIME(12,0,0),1)</f>
        <v>0.86458333333333326</v>
      </c>
      <c r="K59" s="36">
        <f>MOD(EST!K59+TIME(12,0,0),1)</f>
        <v>7.2916666666666519E-2</v>
      </c>
      <c r="L59" s="36">
        <f>MOD(EST!L59+TIME(12,0,0),1)</f>
        <v>0.94791666666666674</v>
      </c>
      <c r="M59" s="36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6">
        <f>MOD(EST!J60+TIME(12,0,0),1)</f>
        <v>3.125E-2</v>
      </c>
      <c r="K60" s="36">
        <f>MOD(EST!K60+TIME(12,0,0),1)</f>
        <v>0.26041666666666652</v>
      </c>
      <c r="L60" s="36">
        <f>MOD(EST!L60+TIME(12,0,0),1)</f>
        <v>0.14583333333333348</v>
      </c>
      <c r="M60" s="36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6">
        <f>MOD(EST!J61+TIME(12,0,0),1)</f>
        <v>0.98958333333333326</v>
      </c>
      <c r="K61" s="36">
        <f>MOD(EST!K61+TIME(12,0,0),1)</f>
        <v>0.22916666666666652</v>
      </c>
      <c r="L61" s="36">
        <f>MOD(EST!L61+TIME(12,0,0),1)</f>
        <v>0.10416666666666652</v>
      </c>
      <c r="M61" s="36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6">
        <f>MOD(EST!J62+TIME(12,0,0),1)</f>
        <v>0.875</v>
      </c>
      <c r="K62" s="36">
        <f>MOD(EST!K62+TIME(12,0,0),1)</f>
        <v>0.97916666666666674</v>
      </c>
      <c r="L62" s="36">
        <f>MOD(EST!L62+TIME(12,0,0),1)</f>
        <v>8.3333333333333481E-2</v>
      </c>
      <c r="M62" s="36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6">
        <f>MOD(EST!J63+TIME(12,0,0),1)</f>
        <v>0.92708333333333326</v>
      </c>
      <c r="K63" s="36">
        <f>MOD(EST!K63+TIME(12,0,0),1)</f>
        <v>0.14583333333333348</v>
      </c>
      <c r="L63" s="36">
        <f>MOD(EST!L63+TIME(12,0,0),1)</f>
        <v>1.0416666666666519E-2</v>
      </c>
      <c r="M63" s="36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6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5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139</v>
      </c>
      <c r="P1" s="54" t="s">
        <v>140</v>
      </c>
    </row>
    <row r="2" spans="1:16">
      <c r="A2" s="56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7">
        <v>0.125</v>
      </c>
      <c r="K2" s="57">
        <v>0.35416666666666669</v>
      </c>
      <c r="L2" s="57">
        <v>0.26041666666666669</v>
      </c>
      <c r="M2" s="57">
        <v>0.44791666666666669</v>
      </c>
      <c r="N2" s="58" t="s">
        <v>19</v>
      </c>
      <c r="O2" s="57" t="s">
        <v>16</v>
      </c>
      <c r="P2">
        <f t="shared" ref="P2:P65" si="0">IF(O2="OFF",0,
IF(VALUE(LEFT(O2,2))&lt;12,0,1))</f>
        <v>0</v>
      </c>
    </row>
    <row r="3" spans="1:16">
      <c r="A3" s="56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56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141</v>
      </c>
      <c r="O4" s="3" t="s">
        <v>24</v>
      </c>
      <c r="P4">
        <f t="shared" si="0"/>
        <v>0</v>
      </c>
    </row>
    <row r="5" spans="1:16">
      <c r="A5" s="56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141</v>
      </c>
      <c r="O5" s="3" t="s">
        <v>28</v>
      </c>
      <c r="P5">
        <f t="shared" si="0"/>
        <v>0</v>
      </c>
    </row>
    <row r="6" spans="1:16">
      <c r="A6" s="59" t="s">
        <v>142</v>
      </c>
      <c r="B6" s="60" t="s">
        <v>16</v>
      </c>
      <c r="C6" s="60" t="s">
        <v>16</v>
      </c>
      <c r="D6" s="60" t="s">
        <v>17</v>
      </c>
      <c r="E6" s="60" t="s">
        <v>17</v>
      </c>
      <c r="F6" s="60" t="s">
        <v>17</v>
      </c>
      <c r="G6" s="60" t="s">
        <v>16</v>
      </c>
      <c r="H6" s="60" t="s">
        <v>16</v>
      </c>
      <c r="I6" s="61" t="s">
        <v>18</v>
      </c>
      <c r="J6" s="62">
        <v>0.125</v>
      </c>
      <c r="K6" s="62">
        <v>0.33333333333333331</v>
      </c>
      <c r="L6" s="62">
        <v>0.21875</v>
      </c>
      <c r="M6" s="62">
        <v>0.4375</v>
      </c>
      <c r="N6" s="63" t="s">
        <v>41</v>
      </c>
      <c r="O6" s="62" t="s">
        <v>16</v>
      </c>
      <c r="P6">
        <f t="shared" si="0"/>
        <v>0</v>
      </c>
    </row>
    <row r="7" spans="1:16">
      <c r="A7" s="56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>
      <c r="A8" s="56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143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>
      <c r="A9" s="56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>
      <c r="A10" s="56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144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>
      <c r="A11" s="56" t="s">
        <v>145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141</v>
      </c>
      <c r="O11" s="3" t="s">
        <v>24</v>
      </c>
      <c r="P11">
        <f t="shared" si="0"/>
        <v>0</v>
      </c>
    </row>
    <row r="12" spans="1:16">
      <c r="A12" s="56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>
      <c r="A13" s="56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>
      <c r="A14" s="56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>
      <c r="A15" s="56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>
      <c r="A16" s="64" t="s">
        <v>50</v>
      </c>
      <c r="B16" s="65" t="s">
        <v>21</v>
      </c>
      <c r="C16" s="65" t="s">
        <v>21</v>
      </c>
      <c r="D16" s="65" t="s">
        <v>21</v>
      </c>
      <c r="E16" s="65" t="s">
        <v>17</v>
      </c>
      <c r="F16" s="65" t="s">
        <v>17</v>
      </c>
      <c r="G16" s="65" t="s">
        <v>17</v>
      </c>
      <c r="H16" s="65" t="s">
        <v>21</v>
      </c>
      <c r="I16" s="66" t="s">
        <v>146</v>
      </c>
      <c r="J16" s="67">
        <v>0.59375</v>
      </c>
      <c r="K16" s="67">
        <v>0.84375</v>
      </c>
      <c r="L16" s="67">
        <v>0.73958333333333337</v>
      </c>
      <c r="M16" s="67">
        <v>0.94791666666666663</v>
      </c>
      <c r="N16" s="68" t="s">
        <v>141</v>
      </c>
      <c r="O16" s="67" t="s">
        <v>21</v>
      </c>
      <c r="P16">
        <f t="shared" si="0"/>
        <v>1</v>
      </c>
    </row>
    <row r="17" spans="1:16">
      <c r="A17" s="56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141</v>
      </c>
      <c r="O17" s="3" t="s">
        <v>53</v>
      </c>
      <c r="P17">
        <f t="shared" si="0"/>
        <v>0</v>
      </c>
    </row>
    <row r="18" spans="1:16">
      <c r="A18" s="56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141</v>
      </c>
      <c r="O18" s="3" t="s">
        <v>24</v>
      </c>
      <c r="P18">
        <f t="shared" si="0"/>
        <v>0</v>
      </c>
    </row>
    <row r="19" spans="1:16">
      <c r="A19" s="56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>
      <c r="A20" s="56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>
      <c r="A21" s="56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>
      <c r="A22" s="56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>
      <c r="A23" s="56" t="s">
        <v>147</v>
      </c>
      <c r="B23" s="1" t="s">
        <v>148</v>
      </c>
      <c r="C23" s="1" t="s">
        <v>148</v>
      </c>
      <c r="D23" s="1" t="s">
        <v>148</v>
      </c>
      <c r="E23" s="1" t="s">
        <v>148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148</v>
      </c>
      <c r="P23">
        <f t="shared" si="0"/>
        <v>0</v>
      </c>
    </row>
    <row r="24" spans="1:16">
      <c r="A24" s="64" t="s">
        <v>149</v>
      </c>
      <c r="B24" s="65" t="s">
        <v>17</v>
      </c>
      <c r="C24" s="65" t="s">
        <v>17</v>
      </c>
      <c r="D24" s="65" t="s">
        <v>17</v>
      </c>
      <c r="E24" s="69" t="s">
        <v>21</v>
      </c>
      <c r="F24" s="69" t="s">
        <v>21</v>
      </c>
      <c r="G24" s="69" t="s">
        <v>21</v>
      </c>
      <c r="H24" s="69" t="s">
        <v>21</v>
      </c>
      <c r="I24" s="65" t="s">
        <v>32</v>
      </c>
      <c r="J24" s="67">
        <v>0.625</v>
      </c>
      <c r="K24" s="67">
        <v>0.71875</v>
      </c>
      <c r="L24" s="67">
        <v>0.8125</v>
      </c>
      <c r="M24" s="67">
        <v>0.9375</v>
      </c>
      <c r="N24" s="68" t="s">
        <v>41</v>
      </c>
      <c r="O24" s="67" t="s">
        <v>21</v>
      </c>
      <c r="P24">
        <f t="shared" si="0"/>
        <v>1</v>
      </c>
    </row>
    <row r="25" spans="1:16">
      <c r="A25" s="56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>
      <c r="A26" s="56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>
      <c r="A27" s="56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>
      <c r="A28" s="56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>
      <c r="A29" s="56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>
      <c r="A30" s="56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>
      <c r="A31" s="56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>
      <c r="A32" s="56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143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141</v>
      </c>
      <c r="O32" s="3" t="s">
        <v>123</v>
      </c>
      <c r="P32">
        <f t="shared" si="0"/>
        <v>0</v>
      </c>
    </row>
    <row r="33" spans="1:16">
      <c r="A33" s="56" t="s">
        <v>150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>
      <c r="A34" s="56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141</v>
      </c>
      <c r="O34" s="3" t="s">
        <v>24</v>
      </c>
      <c r="P34">
        <f t="shared" si="0"/>
        <v>0</v>
      </c>
    </row>
    <row r="35" spans="1:16">
      <c r="A35" s="56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141</v>
      </c>
      <c r="O35" s="3" t="s">
        <v>77</v>
      </c>
      <c r="P35">
        <f t="shared" si="0"/>
        <v>1</v>
      </c>
    </row>
    <row r="36" spans="1:16">
      <c r="A36" s="56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141</v>
      </c>
      <c r="O36" s="3" t="s">
        <v>45</v>
      </c>
      <c r="P36">
        <f t="shared" si="0"/>
        <v>0</v>
      </c>
    </row>
    <row r="37" spans="1:16">
      <c r="A37" s="56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>
      <c r="A38" s="64" t="s">
        <v>82</v>
      </c>
      <c r="B38" s="65" t="s">
        <v>31</v>
      </c>
      <c r="C38" s="65" t="s">
        <v>31</v>
      </c>
      <c r="D38" s="65" t="s">
        <v>31</v>
      </c>
      <c r="E38" s="65" t="s">
        <v>31</v>
      </c>
      <c r="F38" s="65" t="s">
        <v>17</v>
      </c>
      <c r="G38" s="65" t="s">
        <v>17</v>
      </c>
      <c r="H38" s="65" t="s">
        <v>17</v>
      </c>
      <c r="I38" s="66" t="s">
        <v>29</v>
      </c>
      <c r="J38" s="67">
        <v>0.91666666666666663</v>
      </c>
      <c r="K38" s="67">
        <v>8.3333333333333329E-2</v>
      </c>
      <c r="L38" s="67">
        <v>0</v>
      </c>
      <c r="M38" s="67">
        <v>0.16666666666666666</v>
      </c>
      <c r="N38" s="68" t="s">
        <v>141</v>
      </c>
      <c r="O38" s="67" t="s">
        <v>31</v>
      </c>
      <c r="P38">
        <f t="shared" si="0"/>
        <v>1</v>
      </c>
    </row>
    <row r="39" spans="1:16">
      <c r="A39" s="56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>
      <c r="A40" s="56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>
      <c r="A41" s="56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141</v>
      </c>
      <c r="O41" s="3" t="s">
        <v>21</v>
      </c>
      <c r="P41">
        <f t="shared" si="0"/>
        <v>1</v>
      </c>
    </row>
    <row r="42" spans="1:16">
      <c r="A42" s="56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>
      <c r="A43" s="56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>
      <c r="A44" s="56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>
      <c r="A45" s="56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>
      <c r="A46" s="56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>
      <c r="A47" s="56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141</v>
      </c>
      <c r="O47" s="3" t="s">
        <v>98</v>
      </c>
      <c r="P47">
        <f t="shared" si="0"/>
        <v>1</v>
      </c>
    </row>
    <row r="48" spans="1:16">
      <c r="A48" s="56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>
      <c r="A49" s="56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>
      <c r="A50" s="56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>
      <c r="A51" s="56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>
      <c r="A52" s="56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>
      <c r="A53" s="56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>
      <c r="A54" s="56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>
      <c r="A55" s="56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>
      <c r="A56" s="56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141</v>
      </c>
      <c r="O56" s="1" t="s">
        <v>74</v>
      </c>
      <c r="P56">
        <f t="shared" si="0"/>
        <v>1</v>
      </c>
    </row>
    <row r="57" spans="1:16">
      <c r="A57" s="70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>
      <c r="A58" s="56" t="s">
        <v>151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>
      <c r="A59" s="56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>
      <c r="A60" s="56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>
      <c r="A61" s="56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>
      <c r="A62" s="56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>
      <c r="A63" s="56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141</v>
      </c>
      <c r="O63" s="3" t="s">
        <v>35</v>
      </c>
      <c r="P63">
        <f t="shared" si="0"/>
        <v>0</v>
      </c>
    </row>
    <row r="64" spans="1:16">
      <c r="A64" s="56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>
      <c r="A65" s="56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>
      <c r="A66" s="56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1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141</v>
      </c>
      <c r="O66" s="3" t="s">
        <v>68</v>
      </c>
      <c r="P66">
        <f t="shared" ref="P66:P68" si="1">IF(O66="OFF",0,
IF(VALUE(LEFT(O66,2))&lt;12,0,1))</f>
        <v>0</v>
      </c>
    </row>
    <row r="67" spans="1:16">
      <c r="A67" s="64" t="s">
        <v>152</v>
      </c>
      <c r="B67" s="65" t="s">
        <v>123</v>
      </c>
      <c r="C67" s="65" t="s">
        <v>123</v>
      </c>
      <c r="D67" s="65" t="s">
        <v>123</v>
      </c>
      <c r="E67" s="65" t="s">
        <v>17</v>
      </c>
      <c r="F67" s="65" t="s">
        <v>17</v>
      </c>
      <c r="G67" s="65" t="s">
        <v>17</v>
      </c>
      <c r="H67" s="65" t="s">
        <v>123</v>
      </c>
      <c r="I67" s="66" t="s">
        <v>22</v>
      </c>
      <c r="J67" s="67">
        <v>0.36458333333333331</v>
      </c>
      <c r="K67" s="67">
        <v>0.57291666666666663</v>
      </c>
      <c r="L67" s="67">
        <v>0.44791666666666669</v>
      </c>
      <c r="M67" s="67">
        <v>0.67708333333333337</v>
      </c>
      <c r="N67" s="68" t="s">
        <v>41</v>
      </c>
      <c r="O67" s="67" t="s">
        <v>123</v>
      </c>
      <c r="P67">
        <f t="shared" si="1"/>
        <v>0</v>
      </c>
    </row>
    <row r="68" spans="1:16">
      <c r="A68" s="56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3" priority="8" operator="equal">
      <formula>"OFF"</formula>
    </cfRule>
  </conditionalFormatting>
  <conditionalFormatting sqref="I61:I62">
    <cfRule type="cellIs" dxfId="12" priority="7" operator="equal">
      <formula>"OFF"</formula>
    </cfRule>
  </conditionalFormatting>
  <conditionalFormatting sqref="O12:O14">
    <cfRule type="cellIs" dxfId="11" priority="4" operator="equal">
      <formula>"OFF"</formula>
    </cfRule>
  </conditionalFormatting>
  <conditionalFormatting sqref="O51:O56">
    <cfRule type="cellIs" dxfId="10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5"/>
  <cols>
    <col min="1" max="1" width="24.5703125" bestFit="1" customWidth="1"/>
    <col min="2" max="8" width="11.42578125" bestFit="1" customWidth="1"/>
    <col min="9" max="9" width="14" bestFit="1" customWidth="1"/>
    <col min="10" max="13" width="8.42578125" style="72" bestFit="1" customWidth="1"/>
    <col min="14" max="14" width="17.28515625" bestFit="1" customWidth="1"/>
    <col min="15" max="15" width="14.28515625" customWidth="1"/>
  </cols>
  <sheetData>
    <row r="1" spans="1:16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5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153</v>
      </c>
      <c r="P1" s="74" t="s">
        <v>140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6">
        <f>MOD(EST_OLD!J2+TIME(12,0,0),1)</f>
        <v>0.625</v>
      </c>
      <c r="K2" s="36">
        <f>MOD(EST_OLD!K2+TIME(12,0,0),1)</f>
        <v>0.85416666666666674</v>
      </c>
      <c r="L2" s="36">
        <f>MOD(EST_OLD!L2+TIME(12,0,0),1)</f>
        <v>0.76041666666666674</v>
      </c>
      <c r="M2" s="36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6">
        <f>MOD(EST_OLD!J3+TIME(12,0,0),1)</f>
        <v>0.11458333333333348</v>
      </c>
      <c r="K3" s="36">
        <f>MOD(EST_OLD!K3+TIME(12,0,0),1)</f>
        <v>0.3125</v>
      </c>
      <c r="L3" s="36">
        <f>MOD(EST_OLD!L3+TIME(12,0,0),1)</f>
        <v>0.1875</v>
      </c>
      <c r="M3" s="36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6">
        <f>MOD(EST_OLD!J4+TIME(12,0,0),1)</f>
        <v>0.91666666666666674</v>
      </c>
      <c r="K4" s="36">
        <f>MOD(EST_OLD!K4+TIME(12,0,0),1)</f>
        <v>0.125</v>
      </c>
      <c r="L4" s="36">
        <f>MOD(EST_OLD!L4+TIME(12,0,0),1)</f>
        <v>2.0833333333333481E-2</v>
      </c>
      <c r="M4" s="36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6">
        <f>MOD(EST_OLD!J5+TIME(12,0,0),1)</f>
        <v>0.88541666666666674</v>
      </c>
      <c r="K5" s="36">
        <f>MOD(EST_OLD!K5+TIME(12,0,0),1)</f>
        <v>0.11458333333333348</v>
      </c>
      <c r="L5" s="36">
        <f>MOD(EST_OLD!L5+TIME(12,0,0),1)</f>
        <v>0.96875</v>
      </c>
      <c r="M5" s="36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6">
        <f>MOD(EST_OLD!J6+TIME(12,0,0),1)</f>
        <v>0.625</v>
      </c>
      <c r="K6" s="36">
        <f>MOD(EST_OLD!K6+TIME(12,0,0),1)</f>
        <v>0.83333333333333326</v>
      </c>
      <c r="L6" s="36">
        <f>MOD(EST_OLD!L6+TIME(12,0,0),1)</f>
        <v>0.71875</v>
      </c>
      <c r="M6" s="36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6">
        <f>MOD(EST_OLD!J7+TIME(12,0,0),1)</f>
        <v>0.51041666666666663</v>
      </c>
      <c r="K7" s="36">
        <f>MOD(EST_OLD!K7+TIME(12,0,0),1)</f>
        <v>0.59375</v>
      </c>
      <c r="L7" s="36">
        <f>MOD(EST_OLD!L7+TIME(12,0,0),1)</f>
        <v>0.77083333333333326</v>
      </c>
      <c r="M7" s="36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6">
        <f>MOD(EST_OLD!J8+TIME(12,0,0),1)</f>
        <v>0</v>
      </c>
      <c r="K8" s="36">
        <f>MOD(EST_OLD!K8+TIME(12,0,0),1)</f>
        <v>0.25</v>
      </c>
      <c r="L8" s="36">
        <f>MOD(EST_OLD!L8+TIME(12,0,0),1)</f>
        <v>0.11458333333333348</v>
      </c>
      <c r="M8" s="36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6">
        <f>MOD(EST_OLD!J9+TIME(12,0,0),1)</f>
        <v>0.97916666666666674</v>
      </c>
      <c r="K9" s="36">
        <f>MOD(EST_OLD!K9+TIME(12,0,0),1)</f>
        <v>0.125</v>
      </c>
      <c r="L9" s="36">
        <f>MOD(EST_OLD!L9+TIME(12,0,0),1)</f>
        <v>5.2083333333333481E-2</v>
      </c>
      <c r="M9" s="36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6">
        <f>MOD(EST_OLD!J10+TIME(12,0,0),1)</f>
        <v>0.92708333333333326</v>
      </c>
      <c r="K10" s="36">
        <f>MOD(EST_OLD!K10+TIME(12,0,0),1)</f>
        <v>0.13541666666666652</v>
      </c>
      <c r="L10" s="36">
        <f>MOD(EST_OLD!L10+TIME(12,0,0),1)</f>
        <v>1.0416666666666519E-2</v>
      </c>
      <c r="M10" s="36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6">
        <f>MOD(EST_OLD!J11+TIME(12,0,0),1)</f>
        <v>0.89583333333333326</v>
      </c>
      <c r="K11" s="36">
        <f>MOD(EST_OLD!K11+TIME(12,0,0),1)</f>
        <v>0.125</v>
      </c>
      <c r="L11" s="36">
        <f>MOD(EST_OLD!L11+TIME(12,0,0),1)</f>
        <v>0</v>
      </c>
      <c r="M11" s="36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6">
        <f>MOD(EST_OLD!J12+TIME(12,0,0),1)</f>
        <v>0.95833333333333326</v>
      </c>
      <c r="K12" s="36">
        <f>MOD(EST_OLD!K12+TIME(12,0,0),1)</f>
        <v>6.25E-2</v>
      </c>
      <c r="L12" s="36">
        <f>MOD(EST_OLD!L12+TIME(12,0,0),1)</f>
        <v>0.25</v>
      </c>
      <c r="M12" s="36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6">
        <f>MOD(EST_OLD!J13+TIME(12,0,0),1)</f>
        <v>0.69791666666666663</v>
      </c>
      <c r="K13" s="36">
        <f>MOD(EST_OLD!K13+TIME(12,0,0),1)</f>
        <v>0.9375</v>
      </c>
      <c r="L13" s="36">
        <f>MOD(EST_OLD!L13+TIME(12,0,0),1)</f>
        <v>0.8125</v>
      </c>
      <c r="M13" s="36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6">
        <f>MOD(EST_OLD!J14+TIME(12,0,0),1)</f>
        <v>0.95833333333333326</v>
      </c>
      <c r="K14" s="36">
        <f>MOD(EST_OLD!K14+TIME(12,0,0),1)</f>
        <v>4.1666666666666519E-2</v>
      </c>
      <c r="L14" s="36">
        <f>MOD(EST_OLD!L14+TIME(12,0,0),1)</f>
        <v>0.14583333333333348</v>
      </c>
      <c r="M14" s="36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6">
        <f>MOD(EST_OLD!J15+TIME(12,0,0),1)</f>
        <v>0.89583333333333326</v>
      </c>
      <c r="K15" s="36">
        <f>MOD(EST_OLD!K15+TIME(12,0,0),1)</f>
        <v>0.10416666666666652</v>
      </c>
      <c r="L15" s="36">
        <f>MOD(EST_OLD!L15+TIME(12,0,0),1)</f>
        <v>0.97916666666666674</v>
      </c>
      <c r="M15" s="36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6">
        <f>MOD(EST_OLD!J16+TIME(12,0,0),1)</f>
        <v>9.375E-2</v>
      </c>
      <c r="K16" s="36">
        <f>MOD(EST_OLD!K16+TIME(12,0,0),1)</f>
        <v>0.34375</v>
      </c>
      <c r="L16" s="36">
        <f>MOD(EST_OLD!L16+TIME(12,0,0),1)</f>
        <v>0.23958333333333348</v>
      </c>
      <c r="M16" s="36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6">
        <f>MOD(EST_OLD!J17+TIME(12,0,0),1)</f>
        <v>0.73958333333333337</v>
      </c>
      <c r="K17" s="36">
        <f>MOD(EST_OLD!K17+TIME(12,0,0),1)</f>
        <v>2.0833333333333481E-2</v>
      </c>
      <c r="L17" s="36">
        <f>MOD(EST_OLD!L17+TIME(12,0,0),1)</f>
        <v>0.85416666666666674</v>
      </c>
      <c r="M17" s="36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6">
        <f>MOD(EST_OLD!J18+TIME(12,0,0),1)</f>
        <v>0.9375</v>
      </c>
      <c r="K18" s="36">
        <f>MOD(EST_OLD!K18+TIME(12,0,0),1)</f>
        <v>0.14583333333333348</v>
      </c>
      <c r="L18" s="36">
        <f>MOD(EST_OLD!L18+TIME(12,0,0),1)</f>
        <v>2.0833333333333481E-2</v>
      </c>
      <c r="M18" s="36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6">
        <f>MOD(EST_OLD!J19+TIME(12,0,0),1)</f>
        <v>4.1666666666666519E-2</v>
      </c>
      <c r="K19" s="36">
        <f>MOD(EST_OLD!K19+TIME(12,0,0),1)</f>
        <v>0.26041666666666652</v>
      </c>
      <c r="L19" s="36">
        <f>MOD(EST_OLD!L19+TIME(12,0,0),1)</f>
        <v>0.15625</v>
      </c>
      <c r="M19" s="36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6">
        <f>MOD(EST_OLD!J20+TIME(12,0,0),1)</f>
        <v>0.92708333333333326</v>
      </c>
      <c r="K20" s="36">
        <f>MOD(EST_OLD!K20+TIME(12,0,0),1)</f>
        <v>0.12847222222222232</v>
      </c>
      <c r="L20" s="36">
        <f>MOD(EST_OLD!L20+TIME(12,0,0),1)</f>
        <v>6.9444444444444198E-3</v>
      </c>
      <c r="M20" s="36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6">
        <f>MOD(EST_OLD!J21+TIME(12,0,0),1)</f>
        <v>0.94791666666666674</v>
      </c>
      <c r="K21" s="36">
        <f>MOD(EST_OLD!K21+TIME(12,0,0),1)</f>
        <v>0.125</v>
      </c>
      <c r="L21" s="36">
        <f>MOD(EST_OLD!L21+TIME(12,0,0),1)</f>
        <v>2.0833333333333481E-2</v>
      </c>
      <c r="M21" s="36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6">
        <f>MOD(EST_OLD!J22+TIME(12,0,0),1)</f>
        <v>2.0833333333333481E-2</v>
      </c>
      <c r="K22" s="36">
        <f>MOD(EST_OLD!K22+TIME(12,0,0),1)</f>
        <v>0.11458333333333348</v>
      </c>
      <c r="L22" s="36">
        <f>MOD(EST_OLD!L22+TIME(12,0,0),1)</f>
        <v>0.16666666666666652</v>
      </c>
      <c r="M22" s="36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6">
        <f>MOD(EST_OLD!J23+TIME(12,0,0),1)</f>
        <v>0.92708333333333326</v>
      </c>
      <c r="K23" s="36">
        <f>MOD(EST_OLD!K23+TIME(12,0,0),1)</f>
        <v>2.0833333333333481E-2</v>
      </c>
      <c r="L23" s="36">
        <f>MOD(EST_OLD!L23+TIME(12,0,0),1)</f>
        <v>0.10416666666666652</v>
      </c>
      <c r="M23" s="36">
        <f>MOD(EST_OLD!M23+TIME(12,0,0),1)</f>
        <v>0.22916666666666652</v>
      </c>
      <c r="N23" t="str">
        <f>EST_OLD!N23</f>
        <v>Michael Dominguez</v>
      </c>
      <c r="O23" t="s">
        <v>154</v>
      </c>
      <c r="P23">
        <f t="shared" si="1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6">
        <f>MOD(EST_OLD!J24+TIME(12,0,0),1)</f>
        <v>0.125</v>
      </c>
      <c r="K24" s="36">
        <f>MOD(EST_OLD!K24+TIME(12,0,0),1)</f>
        <v>0.21875</v>
      </c>
      <c r="L24" s="36">
        <f>MOD(EST_OLD!L24+TIME(12,0,0),1)</f>
        <v>0.3125</v>
      </c>
      <c r="M24" s="36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6">
        <f>MOD(EST_OLD!J25+TIME(12,0,0),1)</f>
        <v>0.39583333333333348</v>
      </c>
      <c r="K25" s="36">
        <f>MOD(EST_OLD!K25+TIME(12,0,0),1)</f>
        <v>0.60416666666666663</v>
      </c>
      <c r="L25" s="36">
        <f>MOD(EST_OLD!L25+TIME(12,0,0),1)</f>
        <v>0.47916666666666652</v>
      </c>
      <c r="M25" s="36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6">
        <f>MOD(EST_OLD!J26+TIME(12,0,0),1)</f>
        <v>0.84375</v>
      </c>
      <c r="K26" s="36">
        <f>MOD(EST_OLD!K26+TIME(12,0,0),1)</f>
        <v>0.9375</v>
      </c>
      <c r="L26" s="36">
        <f>MOD(EST_OLD!L26+TIME(12,0,0),1)</f>
        <v>7.2916666666666519E-2</v>
      </c>
      <c r="M26" s="36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6">
        <f>MOD(EST_OLD!J27+TIME(12,0,0),1)</f>
        <v>0.80208333333333326</v>
      </c>
      <c r="K27" s="36">
        <f>MOD(EST_OLD!K27+TIME(12,0,0),1)</f>
        <v>4.1666666666666519E-2</v>
      </c>
      <c r="L27" s="36">
        <f>MOD(EST_OLD!L27+TIME(12,0,0),1)</f>
        <v>0.91666666666666674</v>
      </c>
      <c r="M27" s="36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6">
        <f>MOD(EST_OLD!J28+TIME(12,0,0),1)</f>
        <v>0.98958333333333326</v>
      </c>
      <c r="K28" s="36">
        <f>MOD(EST_OLD!K28+TIME(12,0,0),1)</f>
        <v>0.19791666666666652</v>
      </c>
      <c r="L28" s="36">
        <f>MOD(EST_OLD!L28+TIME(12,0,0),1)</f>
        <v>0.14583333333333348</v>
      </c>
      <c r="M28" s="36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6">
        <f>MOD(EST_OLD!J29+TIME(12,0,0),1)</f>
        <v>0.92708333333333326</v>
      </c>
      <c r="K29" s="36">
        <f>MOD(EST_OLD!K29+TIME(12,0,0),1)</f>
        <v>0.14583333333333348</v>
      </c>
      <c r="L29" s="36">
        <f>MOD(EST_OLD!L29+TIME(12,0,0),1)</f>
        <v>3.125E-2</v>
      </c>
      <c r="M29" s="36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6">
        <f>MOD(EST_OLD!J30+TIME(12,0,0),1)</f>
        <v>4.1666666666666519E-2</v>
      </c>
      <c r="K30" s="36">
        <f>MOD(EST_OLD!K30+TIME(12,0,0),1)</f>
        <v>0.26041666666666652</v>
      </c>
      <c r="L30" s="36">
        <f>MOD(EST_OLD!L30+TIME(12,0,0),1)</f>
        <v>0.13541666666666652</v>
      </c>
      <c r="M30" s="36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137</v>
      </c>
      <c r="I31" t="str">
        <f t="shared" si="2"/>
        <v>Thu - Fri - Sat</v>
      </c>
      <c r="J31" s="36">
        <f>MOD(EST_OLD!J31+TIME(12,0,0),1)</f>
        <v>0.65625</v>
      </c>
      <c r="K31" s="36">
        <f>MOD(EST_OLD!K31+TIME(12,0,0),1)</f>
        <v>0.875</v>
      </c>
      <c r="L31" s="36">
        <f>MOD(EST_OLD!L31+TIME(12,0,0),1)</f>
        <v>0.75</v>
      </c>
      <c r="M31" s="36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6">
        <f>MOD(EST_OLD!J32+TIME(12,0,0),1)</f>
        <v>0.85416666666666674</v>
      </c>
      <c r="K32" s="36">
        <f>MOD(EST_OLD!K32+TIME(12,0,0),1)</f>
        <v>0.95833333333333326</v>
      </c>
      <c r="L32" s="36">
        <f>MOD(EST_OLD!L32+TIME(12,0,0),1)</f>
        <v>4.1666666666666519E-2</v>
      </c>
      <c r="M32" s="36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6">
        <f>MOD(EST_OLD!J33+TIME(12,0,0),1)</f>
        <v>0.3125</v>
      </c>
      <c r="K33" s="36">
        <f>MOD(EST_OLD!K33+TIME(12,0,0),1)</f>
        <v>0.51041666666666663</v>
      </c>
      <c r="L33" s="36">
        <f>MOD(EST_OLD!L33+TIME(12,0,0),1)</f>
        <v>0.39583333333333348</v>
      </c>
      <c r="M33" s="36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6">
        <f>MOD(EST_OLD!J34+TIME(12,0,0),1)</f>
        <v>0.9375</v>
      </c>
      <c r="K34" s="36">
        <f>MOD(EST_OLD!K34+TIME(12,0,0),1)</f>
        <v>0.14583333333333348</v>
      </c>
      <c r="L34" s="36">
        <f>MOD(EST_OLD!L34+TIME(12,0,0),1)</f>
        <v>1.0416666666666519E-2</v>
      </c>
      <c r="M34" s="36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6">
        <f>MOD(EST_OLD!J35+TIME(12,0,0),1)</f>
        <v>8.3333333333333481E-2</v>
      </c>
      <c r="K35" s="36">
        <f>MOD(EST_OLD!K35+TIME(12,0,0),1)</f>
        <v>0.3125</v>
      </c>
      <c r="L35" s="36">
        <f>MOD(EST_OLD!L35+TIME(12,0,0),1)</f>
        <v>0.17708333333333348</v>
      </c>
      <c r="M35" s="36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6">
        <f>MOD(EST_OLD!J36+TIME(12,0,0),1)</f>
        <v>0.71875</v>
      </c>
      <c r="K36" s="36">
        <f>MOD(EST_OLD!K36+TIME(12,0,0),1)</f>
        <v>0.88541666666666674</v>
      </c>
      <c r="L36" s="36">
        <f>MOD(EST_OLD!L36+TIME(12,0,0),1)</f>
        <v>0.80208333333333326</v>
      </c>
      <c r="M36" s="36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6">
        <f>MOD(EST_OLD!J37+TIME(12,0,0),1)</f>
        <v>0.46527777777777768</v>
      </c>
      <c r="K37" s="36">
        <f>MOD(EST_OLD!K37+TIME(12,0,0),1)</f>
        <v>0.59027777777777779</v>
      </c>
      <c r="L37" s="36">
        <f>MOD(EST_OLD!L37+TIME(12,0,0),1)</f>
        <v>0.68055555555555558</v>
      </c>
      <c r="M37" s="36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6">
        <f>MOD(EST_OLD!J38+TIME(12,0,0),1)</f>
        <v>0.41666666666666652</v>
      </c>
      <c r="K38" s="36">
        <f>MOD(EST_OLD!K38+TIME(12,0,0),1)</f>
        <v>0.58333333333333337</v>
      </c>
      <c r="L38" s="36">
        <f>MOD(EST_OLD!L38+TIME(12,0,0),1)</f>
        <v>0.5</v>
      </c>
      <c r="M38" s="36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6">
        <f>MOD(EST_OLD!J39+TIME(12,0,0),1)</f>
        <v>0.84375</v>
      </c>
      <c r="K39" s="36">
        <f>MOD(EST_OLD!K39+TIME(12,0,0),1)</f>
        <v>0.94791666666666674</v>
      </c>
      <c r="L39" s="36">
        <f>MOD(EST_OLD!L39+TIME(12,0,0),1)</f>
        <v>6.25E-2</v>
      </c>
      <c r="M39" s="36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135</v>
      </c>
      <c r="I40" t="str">
        <f t="shared" si="2"/>
        <v>Thu - Fri - Sat</v>
      </c>
      <c r="J40" s="36">
        <f>MOD(EST_OLD!J40+TIME(12,0,0),1)</f>
        <v>0.71875</v>
      </c>
      <c r="K40" s="36">
        <f>MOD(EST_OLD!K40+TIME(12,0,0),1)</f>
        <v>0.88541666666666674</v>
      </c>
      <c r="L40" s="36">
        <f>MOD(EST_OLD!L40+TIME(12,0,0),1)</f>
        <v>0.80208333333333326</v>
      </c>
      <c r="M40" s="36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6">
        <f>MOD(EST_OLD!J41+TIME(12,0,0),1)</f>
        <v>0.125</v>
      </c>
      <c r="K41" s="36">
        <f>MOD(EST_OLD!K41+TIME(12,0,0),1)</f>
        <v>0.375</v>
      </c>
      <c r="L41" s="36">
        <f>MOD(EST_OLD!L41+TIME(12,0,0),1)</f>
        <v>0.25</v>
      </c>
      <c r="M41" s="36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6">
        <f>MOD(EST_OLD!J42+TIME(12,0,0),1)</f>
        <v>0.71875</v>
      </c>
      <c r="K42" s="36">
        <f>MOD(EST_OLD!K42+TIME(12,0,0),1)</f>
        <v>0.89583333333333326</v>
      </c>
      <c r="L42" s="36">
        <f>MOD(EST_OLD!L42+TIME(12,0,0),1)</f>
        <v>0.79166666666666674</v>
      </c>
      <c r="M42" s="36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6">
        <f>MOD(EST_OLD!J43+TIME(12,0,0),1)</f>
        <v>0</v>
      </c>
      <c r="K43" s="36">
        <f>MOD(EST_OLD!K43+TIME(12,0,0),1)</f>
        <v>0.21875</v>
      </c>
      <c r="L43" s="36">
        <f>MOD(EST_OLD!L43+TIME(12,0,0),1)</f>
        <v>9.375E-2</v>
      </c>
      <c r="M43" s="36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6">
        <f>MOD(EST_OLD!J44+TIME(12,0,0),1)</f>
        <v>0.92708333333333326</v>
      </c>
      <c r="K44" s="36">
        <f>MOD(EST_OLD!K44+TIME(12,0,0),1)</f>
        <v>0.13541666666666652</v>
      </c>
      <c r="L44" s="36">
        <f>MOD(EST_OLD!L44+TIME(12,0,0),1)</f>
        <v>1.0416666666666519E-2</v>
      </c>
      <c r="M44" s="36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6">
        <f>MOD(EST_OLD!J45+TIME(12,0,0),1)</f>
        <v>0.55208333333333337</v>
      </c>
      <c r="K45" s="36">
        <f>MOD(EST_OLD!K45+TIME(12,0,0),1)</f>
        <v>0.78125</v>
      </c>
      <c r="L45" s="36">
        <f>MOD(EST_OLD!L45+TIME(12,0,0),1)</f>
        <v>0.65625</v>
      </c>
      <c r="M45" s="36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6">
        <f>MOD(EST_OLD!J46+TIME(12,0,0),1)</f>
        <v>0.92708333333333326</v>
      </c>
      <c r="K46" s="36">
        <f>MOD(EST_OLD!K46+TIME(12,0,0),1)</f>
        <v>2.0833333333333481E-2</v>
      </c>
      <c r="L46" s="36">
        <f>MOD(EST_OLD!L46+TIME(12,0,0),1)</f>
        <v>0.125</v>
      </c>
      <c r="M46" s="36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6">
        <f>MOD(EST_OLD!J47+TIME(12,0,0),1)</f>
        <v>0.3125</v>
      </c>
      <c r="K47" s="36">
        <f>MOD(EST_OLD!K47+TIME(12,0,0),1)</f>
        <v>0.5</v>
      </c>
      <c r="L47" s="36">
        <f>MOD(EST_OLD!L47+TIME(12,0,0),1)</f>
        <v>0.40625</v>
      </c>
      <c r="M47" s="36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6">
        <f>MOD(EST_OLD!J48+TIME(12,0,0),1)</f>
        <v>0.88541666666666674</v>
      </c>
      <c r="K48" s="36">
        <f>MOD(EST_OLD!K48+TIME(12,0,0),1)</f>
        <v>0</v>
      </c>
      <c r="L48" s="36">
        <f>MOD(EST_OLD!L48+TIME(12,0,0),1)</f>
        <v>8.3333333333333481E-2</v>
      </c>
      <c r="M48" s="36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6">
        <f>MOD(EST_OLD!J49+TIME(12,0,0),1)</f>
        <v>0.95833333333333326</v>
      </c>
      <c r="K49" s="36">
        <f>MOD(EST_OLD!K49+TIME(12,0,0),1)</f>
        <v>0.19791666666666652</v>
      </c>
      <c r="L49" s="36">
        <f>MOD(EST_OLD!L49+TIME(12,0,0),1)</f>
        <v>7.2916666666666519E-2</v>
      </c>
      <c r="M49" s="36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6">
        <f>MOD(EST_OLD!J50+TIME(12,0,0),1)</f>
        <v>0.875</v>
      </c>
      <c r="K50" s="36">
        <f>MOD(EST_OLD!K50+TIME(12,0,0),1)</f>
        <v>0.97916666666666674</v>
      </c>
      <c r="L50" s="36">
        <f>MOD(EST_OLD!L50+TIME(12,0,0),1)</f>
        <v>8.3333333333333481E-2</v>
      </c>
      <c r="M50" s="36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138</v>
      </c>
      <c r="I51" t="str">
        <f t="shared" si="2"/>
        <v>Mon - Tue - Wed</v>
      </c>
      <c r="J51" s="36">
        <f>MOD(EST_OLD!J51+TIME(12,0,0),1)</f>
        <v>0.35416666666666652</v>
      </c>
      <c r="K51" s="36">
        <f>MOD(EST_OLD!K51+TIME(12,0,0),1)</f>
        <v>0.57291666666666663</v>
      </c>
      <c r="L51" s="36">
        <f>MOD(EST_OLD!L51+TIME(12,0,0),1)</f>
        <v>0.44791666666666652</v>
      </c>
      <c r="M51" s="36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6">
        <f>MOD(EST_OLD!J52+TIME(12,0,0),1)</f>
        <v>0.97916666666666674</v>
      </c>
      <c r="K52" s="36">
        <f>MOD(EST_OLD!K52+TIME(12,0,0),1)</f>
        <v>0.17708333333333348</v>
      </c>
      <c r="L52" s="36">
        <f>MOD(EST_OLD!L52+TIME(12,0,0),1)</f>
        <v>7.2916666666666519E-2</v>
      </c>
      <c r="M52" s="36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6">
        <f>MOD(EST_OLD!J53+TIME(12,0,0),1)</f>
        <v>0.96875</v>
      </c>
      <c r="K53" s="36">
        <f>MOD(EST_OLD!K53+TIME(12,0,0),1)</f>
        <v>6.25E-2</v>
      </c>
      <c r="L53" s="36">
        <f>MOD(EST_OLD!L53+TIME(12,0,0),1)</f>
        <v>0.125</v>
      </c>
      <c r="M53" s="36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6">
        <f>MOD(EST_OLD!J54+TIME(12,0,0),1)</f>
        <v>0.79166666666666674</v>
      </c>
      <c r="K54" s="36">
        <f>MOD(EST_OLD!K54+TIME(12,0,0),1)</f>
        <v>1.0416666666666519E-2</v>
      </c>
      <c r="L54" s="36">
        <f>MOD(EST_OLD!L54+TIME(12,0,0),1)</f>
        <v>0.88541666666666674</v>
      </c>
      <c r="M54" s="36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6">
        <f>MOD(EST_OLD!J55+TIME(12,0,0),1)</f>
        <v>0.45833333333333348</v>
      </c>
      <c r="K55" s="36">
        <f>MOD(EST_OLD!K55+TIME(12,0,0),1)</f>
        <v>0.625</v>
      </c>
      <c r="L55" s="36">
        <f>MOD(EST_OLD!L55+TIME(12,0,0),1)</f>
        <v>0.70833333333333337</v>
      </c>
      <c r="M55" s="36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6">
        <f>MOD(EST_OLD!J56+TIME(12,0,0),1)</f>
        <v>0.5</v>
      </c>
      <c r="K56" s="36">
        <f>MOD(EST_OLD!K56+TIME(12,0,0),1)</f>
        <v>0.69791666666666663</v>
      </c>
      <c r="L56" s="36">
        <f>MOD(EST_OLD!L56+TIME(12,0,0),1)</f>
        <v>0.59375</v>
      </c>
      <c r="M56" s="36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6">
        <f>MOD(EST_OLD!J57+TIME(12,0,0),1)</f>
        <v>0</v>
      </c>
      <c r="K57" s="36">
        <f>MOD(EST_OLD!K57+TIME(12,0,0),1)</f>
        <v>9.375E-2</v>
      </c>
      <c r="L57" s="36">
        <f>MOD(EST_OLD!L57+TIME(12,0,0),1)</f>
        <v>0.1875</v>
      </c>
      <c r="M57" s="36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6">
        <f>MOD(EST_OLD!J58+TIME(12,0,0),1)</f>
        <v>0.76041666666666674</v>
      </c>
      <c r="K58" s="36">
        <f>MOD(EST_OLD!K58+TIME(12,0,0),1)</f>
        <v>0.97916666666666674</v>
      </c>
      <c r="L58" s="36">
        <f>MOD(EST_OLD!L58+TIME(12,0,0),1)</f>
        <v>0.89583333333333326</v>
      </c>
      <c r="M58" s="36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6">
        <f>MOD(EST_OLD!J59+TIME(12,0,0),1)</f>
        <v>0.96875</v>
      </c>
      <c r="K59" s="36">
        <f>MOD(EST_OLD!K59+TIME(12,0,0),1)</f>
        <v>0.17708333333333348</v>
      </c>
      <c r="L59" s="36">
        <f>MOD(EST_OLD!L59+TIME(12,0,0),1)</f>
        <v>6.25E-2</v>
      </c>
      <c r="M59" s="36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6">
        <f>MOD(EST_OLD!J60+TIME(12,0,0),1)</f>
        <v>0.94791666666666674</v>
      </c>
      <c r="K60" s="36">
        <f>MOD(EST_OLD!K60+TIME(12,0,0),1)</f>
        <v>0.15625</v>
      </c>
      <c r="L60" s="36">
        <f>MOD(EST_OLD!L60+TIME(12,0,0),1)</f>
        <v>4.1666666666666519E-2</v>
      </c>
      <c r="M60" s="36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6">
        <f>MOD(EST_OLD!J61+TIME(12,0,0),1)</f>
        <v>0.58333333333333337</v>
      </c>
      <c r="K61" s="36">
        <f>MOD(EST_OLD!K61+TIME(12,0,0),1)</f>
        <v>0.66666666666666663</v>
      </c>
      <c r="L61" s="36">
        <f>MOD(EST_OLD!L61+TIME(12,0,0),1)</f>
        <v>0.79166666666666674</v>
      </c>
      <c r="M61" s="36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6">
        <f>MOD(EST_OLD!J62+TIME(12,0,0),1)</f>
        <v>0.53125</v>
      </c>
      <c r="K62" s="36">
        <f>MOD(EST_OLD!K62+TIME(12,0,0),1)</f>
        <v>0.66666666666666663</v>
      </c>
      <c r="L62" s="36">
        <f>MOD(EST_OLD!L62+TIME(12,0,0),1)</f>
        <v>0.8125</v>
      </c>
      <c r="M62" s="36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6">
        <f>MOD(EST_OLD!J63+TIME(12,0,0),1)</f>
        <v>0.97916666666666674</v>
      </c>
      <c r="K63" s="36">
        <f>MOD(EST_OLD!K63+TIME(12,0,0),1)</f>
        <v>0.19791666666666652</v>
      </c>
      <c r="L63" s="36">
        <f>MOD(EST_OLD!L63+TIME(12,0,0),1)</f>
        <v>8.3333333333333481E-2</v>
      </c>
      <c r="M63" s="36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6">
        <f>MOD(EST_OLD!J64+TIME(12,0,0),1)</f>
        <v>0.86458333333333326</v>
      </c>
      <c r="K64" s="36">
        <f>MOD(EST_OLD!K64+TIME(12,0,0),1)</f>
        <v>7.2916666666666519E-2</v>
      </c>
      <c r="L64" s="36">
        <f>MOD(EST_OLD!L64+TIME(12,0,0),1)</f>
        <v>0.94791666666666674</v>
      </c>
      <c r="M64" s="36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6">
        <f>MOD(EST_OLD!J65+TIME(12,0,0),1)</f>
        <v>4.1666666666666519E-2</v>
      </c>
      <c r="K65" s="36">
        <f>MOD(EST_OLD!K65+TIME(12,0,0),1)</f>
        <v>0.26041666666666652</v>
      </c>
      <c r="L65" s="36">
        <f>MOD(EST_OLD!L65+TIME(12,0,0),1)</f>
        <v>0.15625</v>
      </c>
      <c r="M65" s="36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6">
        <f>MOD(EST_OLD!J66+TIME(12,0,0),1)</f>
        <v>0</v>
      </c>
      <c r="K66" s="36">
        <f>MOD(EST_OLD!K66+TIME(12,0,0),1)</f>
        <v>0.21875</v>
      </c>
      <c r="L66" s="36">
        <f>MOD(EST_OLD!L66+TIME(12,0,0),1)</f>
        <v>0.10416666666666652</v>
      </c>
      <c r="M66" s="36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6">
        <f>MOD(EST_OLD!J67+TIME(12,0,0),1)</f>
        <v>0.86458333333333326</v>
      </c>
      <c r="K67" s="36">
        <f>MOD(EST_OLD!K67+TIME(12,0,0),1)</f>
        <v>7.2916666666666519E-2</v>
      </c>
      <c r="L67" s="36">
        <f>MOD(EST_OLD!L67+TIME(12,0,0),1)</f>
        <v>0.94791666666666674</v>
      </c>
      <c r="M67" s="36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6">
        <f>MOD(EST_OLD!J68+TIME(12,0,0),1)</f>
        <v>0.92708333333333326</v>
      </c>
      <c r="K68" s="36">
        <f>MOD(EST_OLD!K68+TIME(12,0,0),1)</f>
        <v>0.14583333333333348</v>
      </c>
      <c r="L68" s="36">
        <f>MOD(EST_OLD!L68+TIME(12,0,0),1)</f>
        <v>1.0416666666666519E-2</v>
      </c>
      <c r="M68" s="36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activeCell="D57" sqref="D57"/>
    </sheetView>
  </sheetViews>
  <sheetFormatPr defaultRowHeight="15"/>
  <cols>
    <col min="1" max="1" width="26.7109375" customWidth="1"/>
    <col min="2" max="2" width="19.140625" style="28" customWidth="1"/>
    <col min="3" max="3" width="22.5703125" customWidth="1"/>
    <col min="4" max="4" width="16.7109375" bestFit="1" customWidth="1"/>
  </cols>
  <sheetData>
    <row r="1" spans="1:4" ht="16.5" thickBot="1">
      <c r="A1" s="24" t="s">
        <v>0</v>
      </c>
      <c r="B1" s="27" t="s">
        <v>155</v>
      </c>
      <c r="C1" s="24" t="s">
        <v>156</v>
      </c>
      <c r="D1" s="24" t="s">
        <v>13</v>
      </c>
    </row>
    <row r="2" spans="1:4">
      <c r="A2" s="16" t="s">
        <v>71</v>
      </c>
      <c r="B2" s="28">
        <v>46315</v>
      </c>
      <c r="C2" t="s">
        <v>157</v>
      </c>
      <c r="D2" t="str">
        <f>_xlfn.IFNA(VLOOKUP(A2,EST!A:N,14,FALSE),"")</f>
        <v>Christopher Rodas</v>
      </c>
    </row>
    <row r="3" spans="1:4">
      <c r="A3" t="s">
        <v>38</v>
      </c>
      <c r="B3" s="28">
        <v>46315</v>
      </c>
      <c r="C3" t="s">
        <v>157</v>
      </c>
      <c r="D3" t="str">
        <f>_xlfn.IFNA(VLOOKUP(A3,EST!A:N,14,FALSE),"")</f>
        <v>Michael Dominguez</v>
      </c>
    </row>
    <row r="4" spans="1:4">
      <c r="A4" t="s">
        <v>15</v>
      </c>
      <c r="B4" s="28">
        <v>46315</v>
      </c>
      <c r="C4" t="s">
        <v>157</v>
      </c>
      <c r="D4" t="str">
        <f>_xlfn.IFNA(VLOOKUP(A4,EST!A:N,14,FALSE),"")</f>
        <v>Remmo Panaligan</v>
      </c>
    </row>
    <row r="5" spans="1:4">
      <c r="A5" t="s">
        <v>147</v>
      </c>
      <c r="B5" s="28">
        <v>46316</v>
      </c>
      <c r="C5" t="s">
        <v>157</v>
      </c>
      <c r="D5" t="str">
        <f>_xlfn.IFNA(VLOOKUP(A5,EST!A:N,14,FALSE),"")</f>
        <v/>
      </c>
    </row>
    <row r="6" spans="1:4">
      <c r="A6" t="s">
        <v>89</v>
      </c>
      <c r="B6" s="28">
        <v>46317</v>
      </c>
      <c r="C6" t="s">
        <v>157</v>
      </c>
      <c r="D6" t="str">
        <f>_xlfn.IFNA(VLOOKUP(A6,EST!A:N,14,FALSE),"")</f>
        <v>Manilyn Abellar</v>
      </c>
    </row>
    <row r="7" spans="1:4">
      <c r="A7" t="s">
        <v>44</v>
      </c>
      <c r="B7" s="28">
        <v>46317</v>
      </c>
      <c r="C7" t="s">
        <v>157</v>
      </c>
      <c r="D7" t="str">
        <f>_xlfn.IFNA(VLOOKUP(A7,EST!A:N,14,FALSE),"")</f>
        <v>Anmecha Valencia</v>
      </c>
    </row>
    <row r="8" spans="1:4">
      <c r="A8" t="s">
        <v>147</v>
      </c>
      <c r="B8" s="28">
        <v>46317</v>
      </c>
      <c r="C8" t="s">
        <v>157</v>
      </c>
      <c r="D8" t="str">
        <f>_xlfn.IFNA(VLOOKUP(A8,EST!A:N,14,FALSE),"")</f>
        <v/>
      </c>
    </row>
    <row r="9" spans="1:4">
      <c r="A9" t="s">
        <v>58</v>
      </c>
      <c r="B9" s="28">
        <v>46318</v>
      </c>
      <c r="C9" t="s">
        <v>157</v>
      </c>
      <c r="D9" t="str">
        <f>_xlfn.IFNA(VLOOKUP(A9,EST!A:N,14,FALSE),"")</f>
        <v>Anmecha Valencia</v>
      </c>
    </row>
    <row r="10" spans="1:4">
      <c r="A10" t="s">
        <v>47</v>
      </c>
      <c r="B10" s="28">
        <v>46318</v>
      </c>
      <c r="C10" t="s">
        <v>157</v>
      </c>
      <c r="D10" t="str">
        <f>_xlfn.IFNA(VLOOKUP(A10,EST!A:N,14,FALSE),"")</f>
        <v>Michael Dominguez</v>
      </c>
    </row>
    <row r="11" spans="1:4">
      <c r="A11" t="s">
        <v>118</v>
      </c>
      <c r="B11" s="28">
        <v>46318</v>
      </c>
      <c r="C11" t="s">
        <v>157</v>
      </c>
      <c r="D11" t="str">
        <f>_xlfn.IFNA(VLOOKUP(A11,EST!A:N,14,FALSE),"")</f>
        <v>Anmecha Valencia</v>
      </c>
    </row>
    <row r="12" spans="1:4">
      <c r="A12" t="s">
        <v>50</v>
      </c>
      <c r="B12" s="28">
        <v>46319</v>
      </c>
      <c r="C12" t="s">
        <v>158</v>
      </c>
      <c r="D12" t="str">
        <f>_xlfn.IFNA(VLOOKUP(A12,EST!A:N,14,FALSE),"")</f>
        <v>Manilyn Abellar</v>
      </c>
    </row>
    <row r="13" spans="1:4">
      <c r="A13" s="10" t="s">
        <v>107</v>
      </c>
      <c r="B13" s="28">
        <v>46320</v>
      </c>
      <c r="C13" t="s">
        <v>157</v>
      </c>
      <c r="D13" t="str">
        <f>_xlfn.IFNA(VLOOKUP(A13,EST!A:N,14,FALSE),"")</f>
        <v>Remmo Panaligan</v>
      </c>
    </row>
    <row r="14" spans="1:4">
      <c r="A14" t="s">
        <v>50</v>
      </c>
      <c r="B14" s="28">
        <v>46320</v>
      </c>
      <c r="C14" t="s">
        <v>158</v>
      </c>
      <c r="D14" t="str">
        <f>_xlfn.IFNA(VLOOKUP(A14,EST!A:N,14,FALSE),"")</f>
        <v>Manilyn Abellar</v>
      </c>
    </row>
    <row r="15" spans="1:4">
      <c r="A15" t="s">
        <v>122</v>
      </c>
      <c r="B15" s="28">
        <v>46321</v>
      </c>
      <c r="C15" t="s">
        <v>157</v>
      </c>
      <c r="D15" t="str">
        <f>_xlfn.IFNA(VLOOKUP(A15,EST!A:N,14,FALSE),"")</f>
        <v>Michael Dominguez</v>
      </c>
    </row>
    <row r="16" spans="1:4">
      <c r="A16" t="s">
        <v>85</v>
      </c>
      <c r="B16" s="28">
        <v>46321</v>
      </c>
      <c r="C16" t="s">
        <v>157</v>
      </c>
      <c r="D16" t="str">
        <f>_xlfn.IFNA(VLOOKUP(A16,EST!A:N,14,FALSE),"")</f>
        <v>Remmo Panaligan</v>
      </c>
    </row>
    <row r="17" spans="1:4">
      <c r="A17" t="s">
        <v>70</v>
      </c>
      <c r="B17" s="28">
        <v>46321</v>
      </c>
      <c r="C17" t="s">
        <v>157</v>
      </c>
      <c r="D17" t="str">
        <f>_xlfn.IFNA(VLOOKUP(A17,EST!A:N,14,FALSE),"")</f>
        <v>Remmo Panaligan</v>
      </c>
    </row>
    <row r="18" spans="1:4">
      <c r="A18" t="s">
        <v>58</v>
      </c>
      <c r="B18" s="28">
        <v>46321</v>
      </c>
      <c r="C18" t="s">
        <v>157</v>
      </c>
      <c r="D18" t="str">
        <f>_xlfn.IFNA(VLOOKUP(A18,EST!A:N,14,FALSE),"")</f>
        <v>Anmecha Valencia</v>
      </c>
    </row>
    <row r="19" spans="1:4">
      <c r="A19" t="s">
        <v>122</v>
      </c>
      <c r="B19" s="28">
        <v>46322</v>
      </c>
      <c r="C19" t="s">
        <v>157</v>
      </c>
      <c r="D19" t="str">
        <f>_xlfn.IFNA(VLOOKUP(A19,EST!A:N,14,FALSE),"")</f>
        <v>Michael Dominguez</v>
      </c>
    </row>
    <row r="20" spans="1:4">
      <c r="A20" t="s">
        <v>85</v>
      </c>
      <c r="B20" s="28">
        <v>46322</v>
      </c>
      <c r="C20" t="s">
        <v>157</v>
      </c>
      <c r="D20" t="str">
        <f>_xlfn.IFNA(VLOOKUP(A20,EST!A:N,14,FALSE),"")</f>
        <v>Remmo Panaligan</v>
      </c>
    </row>
    <row r="21" spans="1:4">
      <c r="A21" t="s">
        <v>70</v>
      </c>
      <c r="B21" s="28">
        <v>46322</v>
      </c>
      <c r="C21" t="s">
        <v>157</v>
      </c>
      <c r="D21" t="str">
        <f>_xlfn.IFNA(VLOOKUP(A21,EST!A:N,14,FALSE),"")</f>
        <v>Remmo Panaligan</v>
      </c>
    </row>
    <row r="22" spans="1:4">
      <c r="A22" t="s">
        <v>58</v>
      </c>
      <c r="B22" s="28">
        <v>46322</v>
      </c>
      <c r="C22" t="s">
        <v>157</v>
      </c>
      <c r="D22" t="str">
        <f>_xlfn.IFNA(VLOOKUP(A22,EST!A:N,14,FALSE),"")</f>
        <v>Anmecha Valencia</v>
      </c>
    </row>
    <row r="23" spans="1:4">
      <c r="A23" t="s">
        <v>65</v>
      </c>
      <c r="B23" s="28">
        <v>46322</v>
      </c>
      <c r="C23" t="s">
        <v>157</v>
      </c>
      <c r="D23" t="str">
        <f>_xlfn.IFNA(VLOOKUP(A23,EST!A:N,14,FALSE),"")</f>
        <v>Christopher Rodas</v>
      </c>
    </row>
    <row r="24" spans="1:4">
      <c r="A24" t="s">
        <v>82</v>
      </c>
      <c r="B24" s="28">
        <v>46322</v>
      </c>
      <c r="C24" t="s">
        <v>158</v>
      </c>
      <c r="D24" t="str">
        <f>_xlfn.IFNA(VLOOKUP(A24,EST!A:N,14,FALSE),"")</f>
        <v>Manilyn Abellar</v>
      </c>
    </row>
    <row r="25" spans="1:4">
      <c r="A25" s="38" t="s">
        <v>50</v>
      </c>
      <c r="B25" s="28">
        <v>46322</v>
      </c>
      <c r="C25" t="s">
        <v>158</v>
      </c>
      <c r="D25" t="str">
        <f>_xlfn.IFNA(VLOOKUP(A25,EST!A:N,14,FALSE),"")</f>
        <v>Manilyn Abellar</v>
      </c>
    </row>
    <row r="26" spans="1:4">
      <c r="A26" s="38" t="s">
        <v>65</v>
      </c>
      <c r="B26" s="28">
        <v>46323</v>
      </c>
      <c r="C26" t="s">
        <v>157</v>
      </c>
      <c r="D26" t="str">
        <f>_xlfn.IFNA(VLOOKUP(A26,EST!A:N,14,FALSE),"")</f>
        <v>Christopher Rodas</v>
      </c>
    </row>
    <row r="27" spans="1:4">
      <c r="A27" t="s">
        <v>27</v>
      </c>
      <c r="B27" s="28">
        <v>46323</v>
      </c>
      <c r="C27" t="s">
        <v>157</v>
      </c>
      <c r="D27" t="str">
        <f>_xlfn.IFNA(VLOOKUP(A27,EST!A:N,14,FALSE),"")</f>
        <v>Manilyn Abellar</v>
      </c>
    </row>
    <row r="28" spans="1:4">
      <c r="A28" s="76" t="s">
        <v>82</v>
      </c>
      <c r="B28" s="28">
        <v>46323</v>
      </c>
      <c r="C28" t="s">
        <v>158</v>
      </c>
      <c r="D28" t="str">
        <f>_xlfn.IFNA(VLOOKUP(A28,EST!A:N,14,FALSE),"")</f>
        <v>Manilyn Abellar</v>
      </c>
    </row>
    <row r="29" spans="1:4">
      <c r="A29" t="s">
        <v>50</v>
      </c>
      <c r="B29" s="28">
        <v>46323</v>
      </c>
      <c r="C29" t="s">
        <v>158</v>
      </c>
      <c r="D29" t="str">
        <f>_xlfn.IFNA(VLOOKUP(A29,EST!A:N,14,FALSE),"")</f>
        <v>Manilyn Abellar</v>
      </c>
    </row>
    <row r="30" spans="1:4">
      <c r="A30" t="s">
        <v>99</v>
      </c>
      <c r="B30" s="28">
        <v>46324</v>
      </c>
      <c r="C30" t="s">
        <v>157</v>
      </c>
      <c r="D30" t="str">
        <f>_xlfn.IFNA(VLOOKUP(A30,EST!A:N,14,FALSE),"")</f>
        <v>Remmo Panaligan</v>
      </c>
    </row>
    <row r="31" spans="1:4">
      <c r="A31" t="s">
        <v>49</v>
      </c>
      <c r="B31" s="28">
        <v>46324</v>
      </c>
      <c r="C31" t="s">
        <v>157</v>
      </c>
      <c r="D31" t="str">
        <f>_xlfn.IFNA(VLOOKUP(A31,EST!A:N,14,FALSE),"")</f>
        <v>Christopher Rodas</v>
      </c>
    </row>
    <row r="32" spans="1:4">
      <c r="A32" t="s">
        <v>58</v>
      </c>
      <c r="B32" s="28">
        <v>46324</v>
      </c>
      <c r="C32" t="s">
        <v>157</v>
      </c>
      <c r="D32" t="str">
        <f>_xlfn.IFNA(VLOOKUP(A32,EST!A:N,14,FALSE),"")</f>
        <v>Anmecha Valencia</v>
      </c>
    </row>
    <row r="33" spans="1:4">
      <c r="A33" t="s">
        <v>89</v>
      </c>
      <c r="B33" s="28">
        <v>46324</v>
      </c>
      <c r="C33" t="s">
        <v>157</v>
      </c>
      <c r="D33" t="str">
        <f>_xlfn.IFNA(VLOOKUP(A33,EST!A:N,14,FALSE),"")</f>
        <v>Manilyn Abellar</v>
      </c>
    </row>
    <row r="34" spans="1:4">
      <c r="A34" s="76" t="s">
        <v>82</v>
      </c>
      <c r="B34" s="28">
        <v>46324</v>
      </c>
      <c r="C34" t="s">
        <v>158</v>
      </c>
      <c r="D34" t="str">
        <f>_xlfn.IFNA(VLOOKUP(A34,EST!A:N,14,FALSE),"")</f>
        <v>Manilyn Abellar</v>
      </c>
    </row>
    <row r="35" spans="1:4">
      <c r="A35" t="s">
        <v>50</v>
      </c>
      <c r="B35" s="28">
        <v>46324</v>
      </c>
      <c r="C35" t="s">
        <v>158</v>
      </c>
      <c r="D35" t="str">
        <f>_xlfn.IFNA(VLOOKUP(A35,EST!A:N,14,FALSE),"")</f>
        <v>Manilyn Abellar</v>
      </c>
    </row>
    <row r="36" spans="1:4">
      <c r="A36" t="s">
        <v>73</v>
      </c>
      <c r="B36" s="28">
        <v>46325</v>
      </c>
      <c r="C36" t="s">
        <v>157</v>
      </c>
      <c r="D36" t="str">
        <f>_xlfn.IFNA(VLOOKUP(A36,EST!A:N,14,FALSE),"")</f>
        <v>Manilyn Abellar</v>
      </c>
    </row>
    <row r="37" spans="1:4">
      <c r="A37" s="76" t="s">
        <v>82</v>
      </c>
      <c r="B37" s="28">
        <v>46325</v>
      </c>
      <c r="C37" t="s">
        <v>158</v>
      </c>
      <c r="D37" t="str">
        <f>_xlfn.IFNA(VLOOKUP(A37,EST!A:N,14,FALSE),"")</f>
        <v>Manilyn Abellar</v>
      </c>
    </row>
    <row r="38" spans="1:4">
      <c r="A38" t="s">
        <v>50</v>
      </c>
      <c r="B38" s="28">
        <v>46325</v>
      </c>
      <c r="C38" t="s">
        <v>158</v>
      </c>
      <c r="D38" t="str">
        <f>_xlfn.IFNA(VLOOKUP(A38,EST!A:N,14,FALSE),"")</f>
        <v>Manilyn Abellar</v>
      </c>
    </row>
    <row r="39" spans="1:4">
      <c r="A39" t="s">
        <v>58</v>
      </c>
      <c r="B39" s="28">
        <v>46325</v>
      </c>
      <c r="C39" t="s">
        <v>157</v>
      </c>
      <c r="D39" t="str">
        <f>_xlfn.IFNA(VLOOKUP(A39,EST!A:N,14,FALSE),"")</f>
        <v>Anmecha Valencia</v>
      </c>
    </row>
    <row r="40" spans="1:4">
      <c r="A40" t="s">
        <v>47</v>
      </c>
      <c r="B40" s="28">
        <v>46325</v>
      </c>
      <c r="C40" t="s">
        <v>157</v>
      </c>
      <c r="D40" t="str">
        <f>_xlfn.IFNA(VLOOKUP(A40,EST!A:N,14,FALSE),"")</f>
        <v>Michael Dominguez</v>
      </c>
    </row>
    <row r="41" spans="1:4">
      <c r="A41" t="s">
        <v>23</v>
      </c>
      <c r="B41" s="28">
        <v>46325</v>
      </c>
      <c r="C41" t="s">
        <v>157</v>
      </c>
      <c r="D41" t="str">
        <f>_xlfn.IFNA(VLOOKUP(A41,EST!A:N,14,FALSE),"")</f>
        <v>Manilyn Abellar</v>
      </c>
    </row>
    <row r="42" spans="1:4">
      <c r="A42" t="s">
        <v>60</v>
      </c>
      <c r="B42" s="28">
        <v>46326</v>
      </c>
      <c r="C42" t="s">
        <v>157</v>
      </c>
      <c r="D42" t="str">
        <f>_xlfn.IFNA(VLOOKUP(A42,EST!A:N,14,FALSE),"")</f>
        <v>Christopher Rodas</v>
      </c>
    </row>
    <row r="43" spans="1:4">
      <c r="A43" s="76" t="s">
        <v>82</v>
      </c>
      <c r="B43" s="28">
        <v>46326</v>
      </c>
      <c r="C43" t="s">
        <v>158</v>
      </c>
      <c r="D43" t="str">
        <f>_xlfn.IFNA(VLOOKUP(A43,EST!A:N,14,FALSE),"")</f>
        <v>Manilyn Abellar</v>
      </c>
    </row>
    <row r="44" spans="1:4">
      <c r="A44" t="s">
        <v>50</v>
      </c>
      <c r="B44" s="28">
        <v>46326</v>
      </c>
      <c r="C44" t="s">
        <v>158</v>
      </c>
      <c r="D44" t="str">
        <f>_xlfn.IFNA(VLOOKUP(A44,EST!A:N,14,FALSE),"")</f>
        <v>Manilyn Abellar</v>
      </c>
    </row>
    <row r="45" spans="1:4">
      <c r="A45" t="s">
        <v>50</v>
      </c>
      <c r="B45" s="28">
        <v>46327</v>
      </c>
      <c r="C45" t="s">
        <v>158</v>
      </c>
      <c r="D45" t="str">
        <f>_xlfn.IFNA(VLOOKUP(A45,EST!A:N,14,FALSE),"")</f>
        <v>Manilyn Abellar</v>
      </c>
    </row>
    <row r="46" spans="1:4">
      <c r="A46" t="s">
        <v>71</v>
      </c>
      <c r="B46" s="28">
        <v>46327</v>
      </c>
      <c r="C46" t="s">
        <v>157</v>
      </c>
      <c r="D46" t="str">
        <f>_xlfn.IFNA(VLOOKUP(A46,EST!A:N,14,FALSE),"")</f>
        <v>Christopher Rodas</v>
      </c>
    </row>
    <row r="47" spans="1:4">
      <c r="A47" t="s">
        <v>108</v>
      </c>
      <c r="B47" s="28">
        <v>46327</v>
      </c>
      <c r="C47" t="s">
        <v>157</v>
      </c>
      <c r="D47" t="str">
        <f>_xlfn.IFNA(VLOOKUP(A47,EST!A:N,14,FALSE),"")</f>
        <v>Christopher Rodas</v>
      </c>
    </row>
    <row r="48" spans="1:4">
      <c r="A48" t="s">
        <v>159</v>
      </c>
      <c r="B48" s="28">
        <v>46328</v>
      </c>
      <c r="C48" t="s">
        <v>158</v>
      </c>
      <c r="D48" t="s">
        <v>41</v>
      </c>
    </row>
    <row r="49" spans="1:4">
      <c r="A49" t="s">
        <v>89</v>
      </c>
      <c r="B49" s="28">
        <v>46328</v>
      </c>
      <c r="C49" t="s">
        <v>157</v>
      </c>
      <c r="D49" t="str">
        <f>_xlfn.IFNA(VLOOKUP(A49,EST!A:N,14,FALSE),"")</f>
        <v>Manilyn Abellar</v>
      </c>
    </row>
    <row r="50" spans="1:4">
      <c r="A50" t="s">
        <v>71</v>
      </c>
      <c r="B50" s="28">
        <v>46328</v>
      </c>
      <c r="C50" t="s">
        <v>157</v>
      </c>
      <c r="D50" t="str">
        <f>_xlfn.IFNA(VLOOKUP(A50,EST!A:N,14,FALSE),"")</f>
        <v>Christopher Rodas</v>
      </c>
    </row>
    <row r="51" spans="1:4">
      <c r="A51" t="s">
        <v>160</v>
      </c>
      <c r="B51" s="28">
        <v>46328</v>
      </c>
      <c r="C51" t="s">
        <v>157</v>
      </c>
      <c r="D51" t="s">
        <v>33</v>
      </c>
    </row>
    <row r="52" spans="1:4">
      <c r="A52" t="s">
        <v>159</v>
      </c>
      <c r="B52" s="28">
        <v>46329</v>
      </c>
      <c r="C52" t="s">
        <v>158</v>
      </c>
      <c r="D52" t="s">
        <v>41</v>
      </c>
    </row>
    <row r="53" spans="1:4">
      <c r="A53" t="s">
        <v>15</v>
      </c>
      <c r="B53" s="28">
        <v>46329</v>
      </c>
      <c r="C53" t="s">
        <v>157</v>
      </c>
      <c r="D53" t="str">
        <f>_xlfn.IFNA(VLOOKUP(A53,EST!A:N,14,FALSE),"")</f>
        <v>Remmo Panaligan</v>
      </c>
    </row>
    <row r="54" spans="1:4">
      <c r="A54" t="s">
        <v>71</v>
      </c>
      <c r="B54" s="28">
        <v>46329</v>
      </c>
      <c r="C54" t="s">
        <v>157</v>
      </c>
      <c r="D54" t="str">
        <f>_xlfn.IFNA(VLOOKUP(A54,EST!A:N,14,FALSE),"")</f>
        <v>Christopher Rodas</v>
      </c>
    </row>
    <row r="55" spans="1:4">
      <c r="A55" t="s">
        <v>90</v>
      </c>
      <c r="B55" s="28">
        <v>46329</v>
      </c>
      <c r="C55" t="s">
        <v>157</v>
      </c>
      <c r="D55" t="str">
        <f>_xlfn.IFNA(VLOOKUP(A55,EST!A:N,14,FALSE),"")</f>
        <v>Christopher Rodas</v>
      </c>
    </row>
    <row r="56" spans="1:4">
      <c r="A56" t="s">
        <v>126</v>
      </c>
      <c r="B56" s="28">
        <v>46330</v>
      </c>
      <c r="C56" t="s">
        <v>157</v>
      </c>
      <c r="D56" t="str">
        <f>_xlfn.IFNA(VLOOKUP(A56,EST!A:N,14,FALSE),"")</f>
        <v>Anmecha Valencia</v>
      </c>
    </row>
    <row r="57" spans="1:4">
      <c r="A57" t="s">
        <v>161</v>
      </c>
      <c r="B57" s="28">
        <v>46330</v>
      </c>
      <c r="C57" t="s">
        <v>157</v>
      </c>
      <c r="D57" t="s">
        <v>33</v>
      </c>
    </row>
    <row r="58" spans="1:4">
      <c r="A58" t="s">
        <v>71</v>
      </c>
      <c r="B58" s="28">
        <v>46330</v>
      </c>
      <c r="C58" t="s">
        <v>157</v>
      </c>
      <c r="D58" t="str">
        <f>_xlfn.IFNA(VLOOKUP(A58,EST!A:N,14,FALSE),"")</f>
        <v>Christopher Rodas</v>
      </c>
    </row>
    <row r="59" spans="1:4">
      <c r="A59" t="s">
        <v>90</v>
      </c>
      <c r="B59" s="28">
        <v>46330</v>
      </c>
      <c r="C59" t="s">
        <v>157</v>
      </c>
      <c r="D59" t="str">
        <f>_xlfn.IFNA(VLOOKUP(A59,EST!A:N,14,FALSE),"")</f>
        <v>Christopher Rodas</v>
      </c>
    </row>
    <row r="60" spans="1:4">
      <c r="A60" t="s">
        <v>162</v>
      </c>
      <c r="B60" s="28">
        <v>46331</v>
      </c>
      <c r="C60" t="s">
        <v>157</v>
      </c>
      <c r="D60" t="s">
        <v>37</v>
      </c>
    </row>
    <row r="61" spans="1:4">
      <c r="A61" t="s">
        <v>163</v>
      </c>
      <c r="B61" s="28">
        <v>46331</v>
      </c>
      <c r="C61" t="s">
        <v>157</v>
      </c>
      <c r="D61" t="s">
        <v>19</v>
      </c>
    </row>
    <row r="62" spans="1:4">
      <c r="A62" t="s">
        <v>89</v>
      </c>
      <c r="B62" s="28">
        <v>46331</v>
      </c>
      <c r="C62" t="s">
        <v>157</v>
      </c>
      <c r="D62" t="str">
        <f>_xlfn.IFNA(VLOOKUP(A62,EST!A:N,14,FALSE),"")</f>
        <v>Manilyn Abellar</v>
      </c>
    </row>
    <row r="63" spans="1:4">
      <c r="A63" t="s">
        <v>90</v>
      </c>
      <c r="B63" s="28">
        <v>46331</v>
      </c>
      <c r="C63" t="s">
        <v>157</v>
      </c>
      <c r="D63" t="str">
        <f>_xlfn.IFNA(VLOOKUP(A63,EST!A:N,14,FALSE),"")</f>
        <v>Christopher Rodas</v>
      </c>
    </row>
    <row r="64" spans="1:4">
      <c r="A64" t="s">
        <v>90</v>
      </c>
      <c r="B64" s="28">
        <v>46332</v>
      </c>
      <c r="C64" t="s">
        <v>157</v>
      </c>
      <c r="D64" t="str">
        <f>_xlfn.IFNA(VLOOKUP(A64,EST!A:N,14,FALSE),"")</f>
        <v>Christopher Rodas</v>
      </c>
    </row>
    <row r="65" spans="1:4">
      <c r="A65" t="s">
        <v>159</v>
      </c>
      <c r="B65" s="28">
        <v>46333</v>
      </c>
      <c r="C65" t="s">
        <v>157</v>
      </c>
      <c r="D65" t="s">
        <v>41</v>
      </c>
    </row>
    <row r="66" spans="1:4">
      <c r="A66" t="s">
        <v>159</v>
      </c>
      <c r="B66" s="28">
        <v>46334</v>
      </c>
      <c r="C66" t="s">
        <v>157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6" priority="2" operator="equal">
      <formula>"OFF"</formula>
    </cfRule>
  </conditionalFormatting>
  <conditionalFormatting sqref="A13">
    <cfRule type="cellIs" dxfId="5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workbookViewId="0">
      <selection activeCell="E11" sqref="E11"/>
    </sheetView>
  </sheetViews>
  <sheetFormatPr defaultRowHeight="15"/>
  <cols>
    <col min="1" max="1" width="28.7109375" style="26" bestFit="1" customWidth="1"/>
    <col min="2" max="2" width="15.28515625" style="28" customWidth="1"/>
    <col min="3" max="3" width="25.85546875" style="26" customWidth="1"/>
    <col min="4" max="4" width="16.7109375" bestFit="1" customWidth="1"/>
  </cols>
  <sheetData>
    <row r="1" spans="1:4" ht="16.5">
      <c r="A1" s="77" t="s">
        <v>0</v>
      </c>
      <c r="B1" s="27" t="s">
        <v>155</v>
      </c>
      <c r="C1" s="25" t="s">
        <v>156</v>
      </c>
      <c r="D1" s="25" t="s">
        <v>13</v>
      </c>
    </row>
    <row r="2" spans="1:4">
      <c r="A2" s="78" t="s">
        <v>55</v>
      </c>
      <c r="B2" s="28">
        <v>46315</v>
      </c>
      <c r="C2" s="26" t="s">
        <v>164</v>
      </c>
      <c r="D2" t="str">
        <f>VLOOKUP(A2,EST!A:N,14,FALSE)</f>
        <v>Anmecha Valencia</v>
      </c>
    </row>
    <row r="3" spans="1:4">
      <c r="A3" s="26" t="s">
        <v>67</v>
      </c>
      <c r="B3" s="28">
        <v>46316</v>
      </c>
      <c r="C3" s="26" t="s">
        <v>165</v>
      </c>
      <c r="D3" t="str">
        <f>VLOOKUP(A3,EST!A:N,14,FALSE)</f>
        <v>Michael Dominguez</v>
      </c>
    </row>
    <row r="4" spans="1:4">
      <c r="A4" s="42" t="s">
        <v>55</v>
      </c>
      <c r="B4" s="28">
        <v>46316</v>
      </c>
      <c r="C4" s="26" t="s">
        <v>166</v>
      </c>
      <c r="D4" t="str">
        <f>VLOOKUP(A4,EST!A:N,14,FALSE)</f>
        <v>Anmecha Valencia</v>
      </c>
    </row>
    <row r="5" spans="1:4">
      <c r="A5" s="26" t="s">
        <v>93</v>
      </c>
      <c r="B5" s="28">
        <v>46316</v>
      </c>
      <c r="C5" s="26" t="s">
        <v>167</v>
      </c>
      <c r="D5" t="str">
        <f>VLOOKUP(A5,EST!A:N,14,FALSE)</f>
        <v>Christopher Rodas</v>
      </c>
    </row>
    <row r="6" spans="1:4">
      <c r="A6" s="42" t="s">
        <v>23</v>
      </c>
      <c r="B6" s="28">
        <v>46318</v>
      </c>
      <c r="C6" s="26" t="s">
        <v>164</v>
      </c>
      <c r="D6" t="str">
        <f>VLOOKUP(A6,EST!A:N,14,FALSE)</f>
        <v>Manilyn Abellar</v>
      </c>
    </row>
    <row r="7" spans="1:4">
      <c r="A7" s="42" t="s">
        <v>126</v>
      </c>
      <c r="B7" s="28">
        <v>46318</v>
      </c>
      <c r="C7" s="26" t="s">
        <v>164</v>
      </c>
      <c r="D7" t="str">
        <f>VLOOKUP(A7,EST!A:N,14,FALSE)</f>
        <v>Anmecha Valencia</v>
      </c>
    </row>
    <row r="8" spans="1:4">
      <c r="A8" s="26" t="s">
        <v>112</v>
      </c>
      <c r="B8" s="28">
        <v>46319</v>
      </c>
      <c r="C8" s="26" t="s">
        <v>164</v>
      </c>
      <c r="D8" t="str">
        <f>_xlfn.IFNA(VLOOKUP(A8,EST!A:N,14,FALSE),"")</f>
        <v>Christopher Rodas</v>
      </c>
    </row>
    <row r="9" spans="1:4">
      <c r="A9" s="26" t="s">
        <v>118</v>
      </c>
      <c r="B9" s="28">
        <v>46319</v>
      </c>
      <c r="C9" s="26" t="s">
        <v>164</v>
      </c>
      <c r="D9" t="str">
        <f>_xlfn.IFNA(VLOOKUP(A9,EST!A:N,14,FALSE),"")</f>
        <v>Anmecha Valencia</v>
      </c>
    </row>
    <row r="10" spans="1:4">
      <c r="A10" s="26" t="s">
        <v>112</v>
      </c>
      <c r="B10" s="28">
        <v>46320</v>
      </c>
      <c r="C10" s="26" t="s">
        <v>164</v>
      </c>
      <c r="D10" t="str">
        <f>_xlfn.IFNA(VLOOKUP(A10,EST!A:N,14,FALSE),"")</f>
        <v>Christopher Rodas</v>
      </c>
    </row>
    <row r="11" spans="1:4">
      <c r="A11" s="42" t="s">
        <v>124</v>
      </c>
      <c r="B11" s="28">
        <v>46320</v>
      </c>
      <c r="C11" s="26" t="s">
        <v>164</v>
      </c>
      <c r="D11" t="str">
        <f>_xlfn.IFNA(VLOOKUP(A11,EST!A:N,14,FALSE),"")</f>
        <v>Michael Dominguez</v>
      </c>
    </row>
    <row r="12" spans="1:4">
      <c r="A12" s="42" t="s">
        <v>114</v>
      </c>
      <c r="B12" s="28">
        <v>46320</v>
      </c>
      <c r="C12" s="26" t="s">
        <v>164</v>
      </c>
      <c r="D12" t="str">
        <f>_xlfn.IFNA(VLOOKUP(A12,EST!A:N,14,FALSE),"")</f>
        <v>Christopher Rodas</v>
      </c>
    </row>
    <row r="13" spans="1:4">
      <c r="A13" s="26" t="s">
        <v>118</v>
      </c>
      <c r="B13" s="28">
        <v>46320</v>
      </c>
      <c r="C13" s="26" t="s">
        <v>164</v>
      </c>
      <c r="D13" t="str">
        <f>_xlfn.IFNA(VLOOKUP(A13,EST!A:N,14,FALSE),"")</f>
        <v>Anmecha Valencia</v>
      </c>
    </row>
    <row r="14" spans="1:4">
      <c r="A14" s="42" t="s">
        <v>44</v>
      </c>
      <c r="B14" s="28">
        <v>46321</v>
      </c>
      <c r="C14" s="26" t="s">
        <v>164</v>
      </c>
      <c r="D14" t="str">
        <f>_xlfn.IFNA(VLOOKUP(A14,EST!A:N,14,FALSE),"")</f>
        <v>Anmecha Valencia</v>
      </c>
    </row>
    <row r="15" spans="1:4">
      <c r="A15" s="26" t="s">
        <v>112</v>
      </c>
      <c r="B15" s="28">
        <v>46321</v>
      </c>
      <c r="C15" s="26" t="s">
        <v>164</v>
      </c>
      <c r="D15" t="str">
        <f>_xlfn.IFNA(VLOOKUP(A15,EST!A:N,14,FALSE),"")</f>
        <v>Christopher Rodas</v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4" priority="7" operator="equal">
      <formula>"OFF"</formula>
    </cfRule>
  </conditionalFormatting>
  <conditionalFormatting sqref="A4">
    <cfRule type="cellIs" dxfId="3" priority="6" operator="equal">
      <formula>"OFF"</formula>
    </cfRule>
  </conditionalFormatting>
  <conditionalFormatting sqref="A6:A7">
    <cfRule type="cellIs" dxfId="2" priority="4" operator="equal">
      <formula>"OFF"</formula>
    </cfRule>
  </conditionalFormatting>
  <conditionalFormatting sqref="A11:A12">
    <cfRule type="cellIs" dxfId="1" priority="2" operator="equal">
      <formula>"OFF"</formula>
    </cfRule>
  </conditionalFormatting>
  <conditionalFormatting sqref="A14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/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2026-10-26T16:50:37Z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